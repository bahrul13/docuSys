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gad\Downloads\"/>
    </mc:Choice>
  </mc:AlternateContent>
  <xr:revisionPtr revIDLastSave="0" documentId="13_ncr:1_{60334A3A-A5FC-4004-A36A-293B234EEC38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Office" sheetId="1" r:id="rId1"/>
    <sheet name="Semi-Expan" sheetId="4" r:id="rId2"/>
    <sheet name="Faci.Dev" sheetId="7" r:id="rId3"/>
    <sheet name="Accreditation" sheetId="2" r:id="rId4"/>
    <sheet name="ISO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8" l="1"/>
  <c r="F41" i="8"/>
  <c r="F42" i="8" s="1"/>
  <c r="F51" i="8"/>
  <c r="F52" i="8"/>
  <c r="F53" i="8"/>
  <c r="F55" i="2"/>
  <c r="F32" i="2"/>
  <c r="F43" i="2"/>
  <c r="F29" i="7" l="1"/>
  <c r="F24" i="8"/>
  <c r="F30" i="8" l="1"/>
  <c r="F33" i="8"/>
  <c r="F50" i="8"/>
  <c r="F54" i="8" s="1"/>
  <c r="F45" i="8"/>
  <c r="F46" i="8"/>
  <c r="F47" i="8"/>
  <c r="F48" i="8" s="1"/>
  <c r="F44" i="8"/>
  <c r="F39" i="8"/>
  <c r="F40" i="8"/>
  <c r="F38" i="8"/>
  <c r="F34" i="8"/>
  <c r="F35" i="8"/>
  <c r="F11" i="8" l="1"/>
  <c r="F29" i="8" l="1"/>
  <c r="F28" i="8"/>
  <c r="F27" i="8"/>
  <c r="F23" i="8"/>
  <c r="F22" i="8"/>
  <c r="F21" i="8"/>
  <c r="F20" i="8"/>
  <c r="F25" i="8" s="1"/>
  <c r="F17" i="8"/>
  <c r="F16" i="8"/>
  <c r="F15" i="8"/>
  <c r="F18" i="8" s="1"/>
  <c r="F12" i="8"/>
  <c r="F13" i="8" s="1"/>
  <c r="F33" i="3"/>
  <c r="F32" i="3"/>
  <c r="F24" i="3"/>
  <c r="F11" i="3"/>
  <c r="F22" i="7"/>
  <c r="F31" i="8" l="1"/>
  <c r="F55" i="8" s="1"/>
  <c r="F20" i="2"/>
  <c r="F21" i="2"/>
  <c r="F22" i="2"/>
  <c r="F23" i="2"/>
  <c r="F19" i="2"/>
  <c r="F18" i="2"/>
  <c r="F17" i="2"/>
  <c r="F16" i="2"/>
  <c r="F15" i="2"/>
  <c r="F12" i="2"/>
  <c r="F13" i="2"/>
  <c r="F54" i="2"/>
  <c r="F53" i="2"/>
  <c r="F52" i="2"/>
  <c r="F51" i="2"/>
  <c r="F50" i="2"/>
  <c r="F49" i="2"/>
  <c r="F48" i="2"/>
  <c r="F47" i="2"/>
  <c r="F46" i="2"/>
  <c r="F45" i="2"/>
  <c r="F42" i="2"/>
  <c r="F41" i="2"/>
  <c r="F40" i="2"/>
  <c r="F39" i="2"/>
  <c r="F38" i="2"/>
  <c r="F37" i="2"/>
  <c r="F36" i="2"/>
  <c r="F35" i="2"/>
  <c r="F34" i="2"/>
  <c r="F31" i="2"/>
  <c r="F30" i="2"/>
  <c r="F29" i="2"/>
  <c r="F28" i="2"/>
  <c r="F27" i="2"/>
  <c r="F26" i="2"/>
  <c r="F25" i="2"/>
  <c r="F24" i="2"/>
  <c r="F14" i="2"/>
  <c r="F11" i="2"/>
  <c r="F20" i="7"/>
  <c r="F19" i="7"/>
  <c r="F24" i="7"/>
  <c r="F25" i="7"/>
  <c r="F15" i="7"/>
  <c r="F14" i="7"/>
  <c r="F21" i="7"/>
  <c r="F23" i="7"/>
  <c r="F18" i="4"/>
  <c r="F18" i="7"/>
  <c r="F28" i="7" l="1"/>
  <c r="F30" i="7"/>
  <c r="F27" i="7"/>
  <c r="F26" i="7"/>
  <c r="F14" i="4"/>
  <c r="F13" i="4"/>
  <c r="F12" i="4"/>
  <c r="F11" i="4"/>
  <c r="F31" i="3"/>
  <c r="F30" i="3"/>
  <c r="F61" i="2"/>
  <c r="F60" i="2"/>
  <c r="F59" i="2"/>
  <c r="F58" i="2"/>
  <c r="F57" i="2"/>
  <c r="F31" i="7" l="1"/>
  <c r="F62" i="2"/>
  <c r="F63" i="2" s="1"/>
  <c r="F15" i="4"/>
  <c r="F83" i="1"/>
  <c r="F13" i="7"/>
  <c r="F82" i="1" l="1"/>
  <c r="F72" i="1"/>
  <c r="F12" i="7" l="1"/>
  <c r="F11" i="7"/>
  <c r="F16" i="7" l="1"/>
  <c r="F32" i="7" s="1"/>
  <c r="F48" i="1"/>
  <c r="F25" i="1"/>
  <c r="F45" i="1"/>
  <c r="F41" i="1"/>
  <c r="F30" i="1"/>
  <c r="F29" i="1"/>
  <c r="F61" i="1"/>
  <c r="F76" i="1"/>
  <c r="F12" i="1"/>
  <c r="F13" i="1" s="1"/>
  <c r="F16" i="1"/>
  <c r="F17" i="1"/>
  <c r="F18" i="1"/>
  <c r="F19" i="1"/>
  <c r="F20" i="1"/>
  <c r="F21" i="1"/>
  <c r="F22" i="1"/>
  <c r="F23" i="1"/>
  <c r="F32" i="1"/>
  <c r="F33" i="1"/>
  <c r="F62" i="1"/>
  <c r="F63" i="1"/>
  <c r="F34" i="1"/>
  <c r="F35" i="1"/>
  <c r="F36" i="1"/>
  <c r="F28" i="1"/>
  <c r="F74" i="1"/>
  <c r="F50" i="1"/>
  <c r="F52" i="1"/>
  <c r="F53" i="1"/>
  <c r="F54" i="1"/>
  <c r="F55" i="1"/>
  <c r="F56" i="1"/>
  <c r="F57" i="1"/>
  <c r="F79" i="1"/>
  <c r="F80" i="1"/>
  <c r="F58" i="1"/>
  <c r="F40" i="1"/>
  <c r="F42" i="1"/>
  <c r="F43" i="1"/>
  <c r="F44" i="1"/>
  <c r="F71" i="1"/>
  <c r="F46" i="1"/>
  <c r="F75" i="1"/>
  <c r="F47" i="1"/>
  <c r="F49" i="1"/>
  <c r="F51" i="1"/>
  <c r="F24" i="1"/>
  <c r="F84" i="1"/>
  <c r="F78" i="1"/>
  <c r="F81" i="1"/>
  <c r="F86" i="1"/>
  <c r="F87" i="1"/>
  <c r="F88" i="1"/>
  <c r="F68" i="1"/>
  <c r="F69" i="1"/>
  <c r="F70" i="1"/>
  <c r="F73" i="1"/>
  <c r="F64" i="1"/>
  <c r="F65" i="1"/>
  <c r="F66" i="1"/>
  <c r="F67" i="1"/>
  <c r="F77" i="1"/>
  <c r="F85" i="1"/>
  <c r="F31" i="1"/>
  <c r="F37" i="1" l="1"/>
  <c r="F89" i="1"/>
  <c r="F29" i="3" l="1"/>
  <c r="F28" i="3"/>
  <c r="F27" i="3"/>
  <c r="F34" i="3" s="1"/>
  <c r="F39" i="1"/>
  <c r="F59" i="1" s="1"/>
  <c r="F17" i="4" l="1"/>
  <c r="F18" i="3"/>
  <c r="F15" i="3"/>
  <c r="F14" i="3"/>
  <c r="F13" i="3"/>
  <c r="F12" i="3"/>
  <c r="F19" i="3"/>
  <c r="F20" i="3"/>
  <c r="F16" i="3" l="1"/>
  <c r="F22" i="3"/>
  <c r="F21" i="3"/>
  <c r="F23" i="3"/>
  <c r="F20" i="4"/>
  <c r="F25" i="3" l="1"/>
  <c r="F35" i="3" s="1"/>
  <c r="F21" i="4"/>
  <c r="F15" i="1" l="1"/>
  <c r="F26" i="1" s="1"/>
  <c r="F90" i="1" l="1"/>
</calcChain>
</file>

<file path=xl/sharedStrings.xml><?xml version="1.0" encoding="utf-8"?>
<sst xmlns="http://schemas.openxmlformats.org/spreadsheetml/2006/main" count="840" uniqueCount="253">
  <si>
    <r>
      <rPr>
        <u/>
        <sz val="11.5"/>
        <rFont val="Tahoma"/>
        <family val="2"/>
      </rPr>
      <t>Instructions:</t>
    </r>
  </si>
  <si>
    <t>SCHEDULE OF ACTIVITIES</t>
  </si>
  <si>
    <t>Nov</t>
  </si>
  <si>
    <t>University President</t>
  </si>
  <si>
    <t xml:space="preserve">1. A PPMP IS CONSIDERED INCORRRECT OR INVALID IF </t>
  </si>
  <si>
    <t>a.  If it exceeds the budget ceiling</t>
  </si>
  <si>
    <t>NO</t>
  </si>
  <si>
    <t>Dec</t>
  </si>
  <si>
    <t>piece</t>
  </si>
  <si>
    <t>can</t>
  </si>
  <si>
    <t>pack</t>
  </si>
  <si>
    <t>box</t>
  </si>
  <si>
    <t>pair</t>
  </si>
  <si>
    <t>jar</t>
  </si>
  <si>
    <t>roll</t>
  </si>
  <si>
    <t>BROOM, soft (tambo)</t>
  </si>
  <si>
    <t>pouch</t>
  </si>
  <si>
    <t>unit</t>
  </si>
  <si>
    <t>PS-DBM</t>
  </si>
  <si>
    <t>PROF. SEMA G. DILNA, EdD</t>
  </si>
  <si>
    <t>DCP-T720W BROTHER INK (black)</t>
  </si>
  <si>
    <t>DCP-T720W BROTHER INK (magenta)</t>
  </si>
  <si>
    <t>DCP-T720W BROTHER INK (cyan)</t>
  </si>
  <si>
    <t>DCP-T720W BROTHER INK (yellow)</t>
  </si>
  <si>
    <t>BOND PAPER LONG</t>
  </si>
  <si>
    <t>BOND PAPER A4</t>
  </si>
  <si>
    <t>BOND PAPER SHORT</t>
  </si>
  <si>
    <t>TONER TN 116</t>
  </si>
  <si>
    <t>QMSO Director</t>
  </si>
  <si>
    <t>STAPLE REMOVER, plier type</t>
  </si>
  <si>
    <t>Unit of Measure</t>
  </si>
  <si>
    <t>GENERAL DESCRIPTION</t>
  </si>
  <si>
    <t>QTY</t>
  </si>
  <si>
    <t>UNIT COST</t>
  </si>
  <si>
    <t>Mode of Procurement</t>
  </si>
  <si>
    <t>SIZE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</si>
  <si>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</si>
  <si>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</si>
  <si>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</si>
  <si>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</si>
  <si>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</si>
  <si>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</si>
  <si>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</si>
  <si>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</si>
  <si>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</si>
  <si>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</si>
  <si>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TOTAL BUDGET</t>
  </si>
  <si>
    <t>NOTE:      Technical Specifications for each Item/Project being proposed shall be submitted as part of the PPMP</t>
  </si>
  <si>
    <t>Prepared by:</t>
  </si>
  <si>
    <t>Reviewed by:</t>
  </si>
  <si>
    <t>Approved by:</t>
  </si>
  <si>
    <t>PART I. AVAILABLE AT PROCUREMENT SERVICE STORES</t>
  </si>
  <si>
    <t>REQUESTING UNIT/OFFICE: QUALITY MANAGEMENT SYSTEM OFFICE</t>
  </si>
  <si>
    <t>ESTIMATED BUDGET</t>
  </si>
  <si>
    <t>FEATHER DUSTER, good quality (Big)</t>
  </si>
  <si>
    <t>TRASH CAN, Plastic  (2-3 gal, flip-top)</t>
  </si>
  <si>
    <t>MOBARAC R. DIMASINDEL, Ph.D</t>
  </si>
  <si>
    <t>TOTAL</t>
  </si>
  <si>
    <t>MARKING PEN, whiteboard,   broad type, black</t>
  </si>
  <si>
    <t>MARKING PEN, whiteboard, broad type, blue</t>
  </si>
  <si>
    <t>MARKING PEN, whiteboard, broad type, red</t>
  </si>
  <si>
    <t>MARKER, permanent, broad type, black</t>
  </si>
  <si>
    <t>MARKER, permanent, broad type, blue</t>
  </si>
  <si>
    <t>MARKER, permanent, broad type, red</t>
  </si>
  <si>
    <t>pad</t>
  </si>
  <si>
    <t>gallon</t>
  </si>
  <si>
    <t>head</t>
  </si>
  <si>
    <t>FOOD AND SNACKS (Day 1)</t>
  </si>
  <si>
    <t>FOOD AND SNACKS (Day 2)</t>
  </si>
  <si>
    <t>FOOD AND SNACKS (Day 3)</t>
  </si>
  <si>
    <t>TARPAULIN</t>
  </si>
  <si>
    <t>OFFICE SUPPLIES/ CONSUMABLES</t>
  </si>
  <si>
    <r>
      <rPr>
        <sz val="8.5"/>
        <rFont val="Tahoma"/>
        <family val="2"/>
      </rPr>
      <t>PPMP 2023 FORM</t>
    </r>
  </si>
  <si>
    <t>Tokens</t>
  </si>
  <si>
    <t xml:space="preserve">Courier for the sending of tokens </t>
  </si>
  <si>
    <t>pax</t>
  </si>
  <si>
    <t>Tarpaulins</t>
  </si>
  <si>
    <t>Meals and Snack (Day 1)</t>
  </si>
  <si>
    <t>Meals and Snack (Day 2)</t>
  </si>
  <si>
    <t>Meals and Snack (Day 3)</t>
  </si>
  <si>
    <t>Processing of Certificates</t>
  </si>
  <si>
    <t>Stage 1 Audit</t>
  </si>
  <si>
    <t>Stage 2 Audit</t>
  </si>
  <si>
    <t>1st Surveillance Audit</t>
  </si>
  <si>
    <t>2nd Surveillance Audit</t>
  </si>
  <si>
    <t>Tokens(Inaul)</t>
  </si>
  <si>
    <t>EQUIPMENTS AND DEVICES</t>
  </si>
  <si>
    <t>EXTENSION CHORD, 5m, 2 sockets</t>
  </si>
  <si>
    <t>INDEX TAB, self-adhesive, transparent,</t>
  </si>
  <si>
    <t>ream</t>
  </si>
  <si>
    <t>PPMP 2023 FORM</t>
  </si>
  <si>
    <t>ALCOHOL OR ACETONE BASED ANTISEPTICS</t>
  </si>
  <si>
    <t>ARTS AND CRAFTS EQUIPMENT AND ACCESSORIES AND SUPPLIES</t>
  </si>
  <si>
    <t>PAPER MATERIALS AND PRODUCTS</t>
  </si>
  <si>
    <t>Subtotal</t>
  </si>
  <si>
    <r>
      <rPr>
        <sz val="10"/>
        <rFont val="Tahoma"/>
        <family val="2"/>
      </rPr>
      <t>PUSH PIN, flat head type, assorted colors,
100 pieces per case</t>
    </r>
  </si>
  <si>
    <t>case</t>
  </si>
  <si>
    <t>RULER, plastic, 450 mm</t>
  </si>
  <si>
    <t>PART II. OTHER ITEMS NOT AVALABLE AT PS BUT REGULARLY PURCHASED FROM OTHER SOURCES (Note: Please indicate price of items)</t>
  </si>
  <si>
    <t>Accomodation for Consultant (3 Days)</t>
  </si>
  <si>
    <t>days</t>
  </si>
  <si>
    <t>Budget Officer</t>
  </si>
  <si>
    <t>DOUBLE SIDED TAPE (1" , 10m)</t>
  </si>
  <si>
    <t>DOUBLE SIDED TAPE (2" , 10m)</t>
  </si>
  <si>
    <t>HDMI Cable(10m, Heavy-duty)</t>
  </si>
  <si>
    <t>PAPER CUTTER (12 x 10 inches, wood)</t>
  </si>
  <si>
    <t>PVC BINDING COVER CLEAR A4 size , 200 gsm, 200 microns, 100 sheets</t>
  </si>
  <si>
    <t>LAMINATING FILM (A4, 250 microns, 100 sheets)</t>
  </si>
  <si>
    <t>PVC BINDING COVER CLEAR long size, 200 gsm, 200 microns, 100 sheets</t>
  </si>
  <si>
    <t>Arch File Folder, 2", red color, long</t>
  </si>
  <si>
    <t>SIGN HERE STICKY NOTES, 43mm×12mm, 100 sheets</t>
  </si>
  <si>
    <t>Vellum Paper (A4 Size, white, 180gsm, 50 sheets)</t>
  </si>
  <si>
    <t>Vellum Paper (Letter Size, white, 180gsm, 50 sheets)</t>
  </si>
  <si>
    <t>Vellum Paper (Legal Size, white, 180gsm, 50 sheets)</t>
  </si>
  <si>
    <t>LIQUID HAND SANITIZER, 1000mL</t>
  </si>
  <si>
    <t>ALCOHOL, 70%, ethyl, 1 gallon</t>
  </si>
  <si>
    <t>AIR FRESHENER</t>
  </si>
  <si>
    <t>BINDING RING/COMB, plastic, 32mm</t>
  </si>
  <si>
    <t>bundle</t>
  </si>
  <si>
    <t xml:space="preserve">CLEARBOOK, Legal size       </t>
  </si>
  <si>
    <t xml:space="preserve">CLIP, Backfold, 19mm    </t>
  </si>
  <si>
    <t xml:space="preserve">CLIP, Backfold, 32mm             </t>
  </si>
  <si>
    <t xml:space="preserve">CLIP, backfold, 25mm       </t>
  </si>
  <si>
    <t xml:space="preserve">CORRECTION TAPE      </t>
  </si>
  <si>
    <t>CUTTER/UTILITY KNIFE</t>
  </si>
  <si>
    <t>DETERGENT POWDER, all-purpose</t>
  </si>
  <si>
    <t>DUST PAN</t>
  </si>
  <si>
    <t xml:space="preserve">FIRE EXTINGUISHER, dry chemical       </t>
  </si>
  <si>
    <t>GLUE, all purpose</t>
  </si>
  <si>
    <t xml:space="preserve">MOP BUCKET, heavy duty, hard plastic     </t>
  </si>
  <si>
    <t xml:space="preserve">NOTE PAD, stick on, 76mm x 100mm (3" x 4") min    </t>
  </si>
  <si>
    <t>NOTE PAD, stick on, 3" x 3"</t>
  </si>
  <si>
    <t>NOTE PAD, stick on, 2" x 3"</t>
  </si>
  <si>
    <t>RAGS</t>
  </si>
  <si>
    <t xml:space="preserve">SCISSORS, Symmetrical / Asymmetrical   </t>
  </si>
  <si>
    <t xml:space="preserve">SIGN PEN, Extra fine tip, Black   </t>
  </si>
  <si>
    <t>SIGN PEN, Extra fine tip, Blue</t>
  </si>
  <si>
    <t>SIGN PEN, Extra fine tip, Red</t>
  </si>
  <si>
    <t>STAPLE WIRE, standard</t>
  </si>
  <si>
    <t>STAPLER, Standard</t>
  </si>
  <si>
    <t xml:space="preserve">STAMP PAD, felt    </t>
  </si>
  <si>
    <t xml:space="preserve">TAPE, transparent, 24mm       </t>
  </si>
  <si>
    <t xml:space="preserve">TAPE, transparent, 48mm       </t>
  </si>
  <si>
    <t>TOILET TISSUE PAPER, 2 ply</t>
  </si>
  <si>
    <t xml:space="preserve">PAPER CLIP, vinyl/plastic coated, 33mm    </t>
  </si>
  <si>
    <t xml:space="preserve">PAPER CLIP, vinyl/plastic coated, jumbo, 50mm     </t>
  </si>
  <si>
    <t xml:space="preserve">PENCIL, Lead/Graphite, With Eraser       </t>
  </si>
  <si>
    <t>FACILITIES DEVELOPMENT</t>
  </si>
  <si>
    <t>RICLYN O CAPAO-AN, MPA</t>
  </si>
  <si>
    <t>HIGHLIGHTER (assorted color)</t>
  </si>
  <si>
    <t>STAMP DATER (received)</t>
  </si>
  <si>
    <t>Bother Fee</t>
  </si>
  <si>
    <t>ACCREDITOR</t>
  </si>
  <si>
    <t>Room (good for 2 persons)</t>
  </si>
  <si>
    <t>MEALS AND SNACKS (Arrival)</t>
  </si>
  <si>
    <t>MEALS AND SNACKS (DAY1)</t>
  </si>
  <si>
    <t>MEALS AND SNACKS (DAY2)</t>
  </si>
  <si>
    <t>MEALS AND SNACKS (DAY3)</t>
  </si>
  <si>
    <t>MEALS AND SNACKS (Departure)</t>
  </si>
  <si>
    <t>TRANSPORTATION (van, Davao to Cotabato)</t>
  </si>
  <si>
    <t>TRANSPORTATION (van, Cotabato to Davao)</t>
  </si>
  <si>
    <t>TRANSPORTATION (van, Hotel to CSU (vise-versa))</t>
  </si>
  <si>
    <t>INDICATIVE PROJECT PROCUREMENT MANAGEMENT PLAN FOR FISCAL YEAR 2026</t>
  </si>
  <si>
    <t>PRE-ACCREDITATION PREPARATION</t>
  </si>
  <si>
    <t>Long Bond Paper</t>
  </si>
  <si>
    <t>reem</t>
  </si>
  <si>
    <t>Brown Envelope</t>
  </si>
  <si>
    <t>Pencils</t>
  </si>
  <si>
    <t>Certificate Holder A4</t>
  </si>
  <si>
    <t>Certificate Frame A4 (Wood)</t>
  </si>
  <si>
    <t>Gift Bags (Medium Size)</t>
  </si>
  <si>
    <t>Filing Boxes (Legal)</t>
  </si>
  <si>
    <t>Long Folders</t>
  </si>
  <si>
    <t>PVC (Long)</t>
  </si>
  <si>
    <t>Ring Binders (Assorted)</t>
  </si>
  <si>
    <t>Tokens (for Internal Accreditor)</t>
  </si>
  <si>
    <t>Primer Paint (1 gallon)</t>
  </si>
  <si>
    <t>ISO MOCK AUDIT</t>
  </si>
  <si>
    <t>ISO ACTUAL AUDIT</t>
  </si>
  <si>
    <t>External Hard Drive (1 TB)</t>
  </si>
  <si>
    <t>ISO CERTIFICATION PROGRAM</t>
  </si>
  <si>
    <t>Cream White Paint (latex, gloss, 1 gallon)</t>
  </si>
  <si>
    <t>Dark Brown Paint(latex, gloss, 1 liter)</t>
  </si>
  <si>
    <t>STAMP DATER (released)</t>
  </si>
  <si>
    <t>COACHING AND MONITORING IN ACCREDITATION</t>
  </si>
  <si>
    <t>COACHES</t>
  </si>
  <si>
    <t>TARPAULIN,6X12ft</t>
  </si>
  <si>
    <t>Acrylic Name Plate, 12"x3"</t>
  </si>
  <si>
    <t>EXECUTIVE TABLE</t>
  </si>
  <si>
    <t>EXECUTIVE CHAIR</t>
  </si>
  <si>
    <t>FURNITURES AND FIXTURES</t>
  </si>
  <si>
    <t>CEILING FAN</t>
  </si>
  <si>
    <t>WHITEBOARD WITH STAND (4X8 ft)</t>
  </si>
  <si>
    <t>CORKBOARD (3x2 ft)</t>
  </si>
  <si>
    <t>LAPTOP (Slim and Light)</t>
  </si>
  <si>
    <t>WATER DISPENSER (Bottom Loader)</t>
  </si>
  <si>
    <t>LAMINATING MACHINE, unit only, A4/A3, Heavy Duty</t>
  </si>
  <si>
    <t>AIRCON (box-type, 2hp)</t>
  </si>
  <si>
    <t>Desktop Computer (Bundle)</t>
  </si>
  <si>
    <t>TV Bracket (Wall Mount)</t>
  </si>
  <si>
    <t>Memory Card (512 GB)</t>
  </si>
  <si>
    <t>Heavy Duty Long arm Stapler - 240 Pages</t>
  </si>
  <si>
    <t>CLOCK (Wall Mounted)</t>
  </si>
  <si>
    <t>Window Roller Blinds (5ft wide)</t>
  </si>
  <si>
    <t>STAND FAN</t>
  </si>
  <si>
    <t>LASER POINTER</t>
  </si>
  <si>
    <t>POCKET WIFI, openline</t>
  </si>
  <si>
    <t>ACCREDITATION NOVEMBER 24-26, 2025 (FACE-TO-FACE)</t>
  </si>
  <si>
    <t>MEALS AND SNACKS (Day 1)</t>
  </si>
  <si>
    <t>MEALS AND SNACKS (Day 2)</t>
  </si>
  <si>
    <t>MEALS AND SNACKS (Day 3)</t>
  </si>
  <si>
    <t>MEALS AND SNACKS (Day 4)</t>
  </si>
  <si>
    <t>MEALS AND SNACKS (Day 5)</t>
  </si>
  <si>
    <t>TRANSPORTATION (van, Cotabato to Darapanan and Buldon)</t>
  </si>
  <si>
    <t>Plane Ticket</t>
  </si>
  <si>
    <t>Short Bond Paper</t>
  </si>
  <si>
    <t>`</t>
  </si>
  <si>
    <t>EPSON 003 INK (cyan)</t>
  </si>
  <si>
    <t>EPSON 003 INK (black)</t>
  </si>
  <si>
    <t>EPSON 003 INK (yellow)</t>
  </si>
  <si>
    <t>EPSON 003 INK (magenta)</t>
  </si>
  <si>
    <t>PRINTER BROTHER (DCP-T720W), inkjet printer</t>
  </si>
  <si>
    <t>White Paint (enamel, gloss, 1 gallon)</t>
  </si>
  <si>
    <t xml:space="preserve">Transportation </t>
  </si>
  <si>
    <t>Accomodation for Auditors (3 Days)</t>
  </si>
  <si>
    <t>SUC LEVELING ACCREDITATION ACTIVITIES</t>
  </si>
  <si>
    <t>INTERNAL QA ASSESSMENT &amp; PRE-ACCREDITATION REVIEW</t>
  </si>
  <si>
    <t>Honoraria for internal assessors</t>
  </si>
  <si>
    <t>Supplies</t>
  </si>
  <si>
    <t>SUC Leveling Fee</t>
  </si>
  <si>
    <t>Accreditation Processing Fee</t>
  </si>
  <si>
    <t>Secretariat Support</t>
  </si>
  <si>
    <t>QA CAPACITY BULDING AND TRAINING</t>
  </si>
  <si>
    <t>OBE Training</t>
  </si>
  <si>
    <t>QA audit workshop</t>
  </si>
  <si>
    <t>Risk-based thinking seminar</t>
  </si>
  <si>
    <t>Honoraria (For Resource Persons)</t>
  </si>
  <si>
    <t>BENCHMARKING AND QA EXPOSURE VISITS</t>
  </si>
  <si>
    <t>Transportation</t>
  </si>
  <si>
    <t>Meals</t>
  </si>
  <si>
    <t>Registration Fee (Local SUCs/HEIs)</t>
  </si>
  <si>
    <t>DOCUMENTATION, PRINTING AND BINDING OF MOV'S</t>
  </si>
  <si>
    <t>Printing of SARS</t>
  </si>
  <si>
    <t>Reproduction Policies</t>
  </si>
  <si>
    <t>INTERNAL QUALITY AUDIT AND MANAGEMENT REVIEW</t>
  </si>
  <si>
    <t>Documentation</t>
  </si>
  <si>
    <t>CUSTOMER SATISFACTION, TRACER, AND STAKEHOLDER SURVEYS</t>
  </si>
  <si>
    <t>QA COMMITTEE MEETINGS AND CONSULTATIONS</t>
  </si>
  <si>
    <t>Accomodation</t>
  </si>
  <si>
    <t>venue</t>
  </si>
  <si>
    <t>Venue</t>
  </si>
  <si>
    <t>Token for accreditor</t>
  </si>
  <si>
    <t>Fieldwork &amp;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</si>
</sst>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7" x14ac:knownFonts="1">
    <font>
      <sz val="10"/>
      <color rgb="FF000000"/>
      <name val="Times New Roman"/>
      <charset val="204"/>
    </font>
    <font>
      <sz val="8.5"/>
      <name val="Tahoma"/>
      <family val="2"/>
    </font>
    <font>
      <b/>
      <sz val="16"/>
      <name val="Tahoma"/>
      <family val="2"/>
    </font>
    <font>
      <sz val="11.5"/>
      <name val="Tahoma"/>
      <family val="2"/>
    </font>
    <font>
      <b/>
      <sz val="11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b/>
      <sz val="9"/>
      <name val="Tahoma"/>
      <family val="2"/>
    </font>
    <font>
      <b/>
      <sz val="13"/>
      <name val="Tahoma"/>
      <family val="2"/>
    </font>
    <font>
      <sz val="10"/>
      <color rgb="FF000000"/>
      <name val="Tahoma"/>
      <family val="2"/>
    </font>
    <font>
      <sz val="11"/>
      <name val="Tahoma"/>
      <family val="2"/>
    </font>
    <font>
      <sz val="10"/>
      <name val="Tahoma"/>
      <family val="2"/>
    </font>
    <font>
      <sz val="8"/>
      <name val="Tahoma"/>
      <family val="2"/>
    </font>
    <font>
      <u/>
      <sz val="11.5"/>
      <name val="Tahoma"/>
      <family val="2"/>
    </font>
    <font>
      <sz val="10"/>
      <color rgb="FF000000"/>
      <name val="Times New Roman"/>
      <family val="1"/>
    </font>
    <font>
      <b/>
      <sz val="10"/>
      <color rgb="FF000000"/>
      <name val="Tahoma"/>
      <family val="2"/>
    </font>
    <font>
      <sz val="10"/>
      <color theme="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4AF83"/>
      </patternFill>
    </fill>
    <fill>
      <patternFill patternType="solid">
        <fgColor rgb="FFF4AF84"/>
      </patternFill>
    </fill>
    <fill>
      <patternFill patternType="solid">
        <fgColor rgb="FFFFE699"/>
      </patternFill>
    </fill>
    <fill>
      <patternFill patternType="solid">
        <fgColor rgb="FF8EAADB"/>
      </patternFill>
    </fill>
    <fill>
      <patternFill patternType="solid">
        <fgColor theme="0"/>
        <bgColor indexed="64"/>
      </patternFill>
    </fill>
    <fill>
      <patternFill patternType="solid">
        <fgColor rgb="FF8EA9DB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indexed="64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4" fillId="0" borderId="0" applyFont="0" applyFill="0" applyBorder="0" applyAlignment="0" applyProtection="0"/>
    <xf numFmtId="0" fontId="14" fillId="0" borderId="0"/>
  </cellStyleXfs>
  <cellXfs count="297">
    <xf numFmtId="0" fontId="0" fillId="0" borderId="0" xfId="0" applyAlignment="1">
      <alignment horizontal="left" vertical="top"/>
    </xf>
    <xf numFmtId="0" fontId="5" fillId="0" borderId="0" xfId="0" applyFont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 indent="2"/>
    </xf>
    <xf numFmtId="0" fontId="10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0" fontId="11" fillId="0" borderId="1" xfId="0" applyFont="1" applyBorder="1" applyAlignment="1">
      <alignment horizontal="left" vertical="center" wrapText="1"/>
    </xf>
    <xf numFmtId="43" fontId="11" fillId="0" borderId="1" xfId="0" applyNumberFormat="1" applyFont="1" applyBorder="1" applyAlignment="1">
      <alignment horizontal="right" vertical="center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6" borderId="0" xfId="0" applyFont="1" applyFill="1" applyAlignment="1">
      <alignment horizontal="left" vertical="top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top"/>
    </xf>
    <xf numFmtId="0" fontId="6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4" fillId="2" borderId="3" xfId="0" applyFont="1" applyFill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right" vertical="center" wrapText="1"/>
    </xf>
    <xf numFmtId="1" fontId="9" fillId="0" borderId="1" xfId="0" applyNumberFormat="1" applyFont="1" applyBorder="1" applyAlignment="1">
      <alignment vertical="center" shrinkToFit="1"/>
    </xf>
    <xf numFmtId="4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 applyProtection="1">
      <alignment horizontal="right" vertical="center" wrapText="1"/>
      <protection locked="0"/>
    </xf>
    <xf numFmtId="4" fontId="9" fillId="0" borderId="1" xfId="0" applyNumberFormat="1" applyFont="1" applyBorder="1" applyAlignment="1">
      <alignment vertical="center" shrinkToFit="1"/>
    </xf>
    <xf numFmtId="1" fontId="9" fillId="0" borderId="1" xfId="0" applyNumberFormat="1" applyFont="1" applyBorder="1" applyAlignment="1">
      <alignment horizontal="right" vertical="center" shrinkToFit="1"/>
    </xf>
    <xf numFmtId="0" fontId="11" fillId="0" borderId="1" xfId="0" applyFont="1" applyBorder="1" applyAlignment="1" applyProtection="1">
      <alignment horizontal="right" vertical="center" wrapText="1"/>
      <protection locked="0"/>
    </xf>
    <xf numFmtId="2" fontId="9" fillId="0" borderId="1" xfId="0" applyNumberFormat="1" applyFont="1" applyBorder="1" applyAlignment="1">
      <alignment horizontal="right" vertical="center" shrinkToFit="1"/>
    </xf>
    <xf numFmtId="2" fontId="9" fillId="0" borderId="1" xfId="0" applyNumberFormat="1" applyFont="1" applyBorder="1" applyAlignment="1">
      <alignment vertical="center" shrinkToFit="1"/>
    </xf>
    <xf numFmtId="4" fontId="9" fillId="0" borderId="1" xfId="0" applyNumberFormat="1" applyFont="1" applyBorder="1" applyAlignment="1">
      <alignment horizontal="right" vertical="center" shrinkToFit="1"/>
    </xf>
    <xf numFmtId="0" fontId="11" fillId="6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right" wrapText="1"/>
    </xf>
    <xf numFmtId="0" fontId="9" fillId="0" borderId="3" xfId="0" applyFont="1" applyBorder="1" applyAlignment="1">
      <alignment horizontal="right" wrapText="1"/>
    </xf>
    <xf numFmtId="0" fontId="11" fillId="0" borderId="1" xfId="1" quotePrefix="1" applyNumberFormat="1" applyFont="1" applyBorder="1" applyAlignment="1" applyProtection="1">
      <alignment horizontal="left" vertical="center" wrapText="1"/>
      <protection locked="0"/>
    </xf>
    <xf numFmtId="0" fontId="11" fillId="0" borderId="1" xfId="1" applyNumberFormat="1" applyFont="1" applyBorder="1" applyAlignment="1" applyProtection="1">
      <alignment horizontal="left" vertical="center" wrapText="1"/>
      <protection locked="0"/>
    </xf>
    <xf numFmtId="0" fontId="11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 vertical="center" wrapText="1"/>
    </xf>
    <xf numFmtId="1" fontId="9" fillId="0" borderId="2" xfId="0" applyNumberFormat="1" applyFont="1" applyBorder="1" applyAlignment="1">
      <alignment horizontal="left" vertical="center" shrinkToFit="1"/>
    </xf>
    <xf numFmtId="0" fontId="11" fillId="6" borderId="1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right" vertical="center" wrapText="1"/>
    </xf>
    <xf numFmtId="49" fontId="11" fillId="0" borderId="1" xfId="0" applyNumberFormat="1" applyFont="1" applyBorder="1" applyAlignment="1" applyProtection="1">
      <alignment vertical="center" wrapText="1"/>
      <protection locked="0"/>
    </xf>
    <xf numFmtId="4" fontId="9" fillId="0" borderId="1" xfId="0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43" fontId="6" fillId="0" borderId="7" xfId="0" applyNumberFormat="1" applyFont="1" applyBorder="1" applyAlignment="1">
      <alignment horizontal="right" vertical="center" wrapText="1"/>
    </xf>
    <xf numFmtId="43" fontId="6" fillId="5" borderId="20" xfId="0" applyNumberFormat="1" applyFont="1" applyFill="1" applyBorder="1" applyAlignment="1">
      <alignment horizontal="right" vertical="center"/>
    </xf>
    <xf numFmtId="0" fontId="9" fillId="0" borderId="2" xfId="0" applyFont="1" applyBorder="1" applyAlignment="1">
      <alignment horizontal="left" vertical="top"/>
    </xf>
    <xf numFmtId="43" fontId="15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9" fillId="0" borderId="0" xfId="0" applyNumberFormat="1" applyFont="1" applyAlignment="1">
      <alignment horizontal="right" vertical="center" shrinkToFit="1"/>
    </xf>
    <xf numFmtId="0" fontId="6" fillId="2" borderId="5" xfId="0" applyFont="1" applyFill="1" applyBorder="1" applyAlignment="1">
      <alignment horizontal="center" vertical="center" wrapText="1"/>
    </xf>
    <xf numFmtId="4" fontId="11" fillId="0" borderId="40" xfId="0" applyNumberFormat="1" applyFont="1" applyBorder="1" applyAlignment="1">
      <alignment horizontal="right" vertical="top" wrapText="1"/>
    </xf>
    <xf numFmtId="0" fontId="11" fillId="0" borderId="40" xfId="0" applyFont="1" applyBorder="1" applyAlignment="1">
      <alignment horizontal="left" vertical="top" wrapText="1"/>
    </xf>
    <xf numFmtId="0" fontId="11" fillId="0" borderId="40" xfId="0" applyFont="1" applyBorder="1" applyAlignment="1">
      <alignment vertical="top" wrapText="1"/>
    </xf>
    <xf numFmtId="0" fontId="11" fillId="0" borderId="40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top" wrapText="1"/>
    </xf>
    <xf numFmtId="1" fontId="9" fillId="0" borderId="37" xfId="0" applyNumberFormat="1" applyFont="1" applyBorder="1" applyAlignment="1">
      <alignment horizontal="center" vertical="top" shrinkToFit="1"/>
    </xf>
    <xf numFmtId="1" fontId="9" fillId="0" borderId="0" xfId="0" applyNumberFormat="1" applyFont="1" applyAlignment="1">
      <alignment horizontal="center" vertical="top" shrinkToFit="1"/>
    </xf>
    <xf numFmtId="1" fontId="9" fillId="0" borderId="40" xfId="0" applyNumberFormat="1" applyFont="1" applyBorder="1" applyAlignment="1">
      <alignment horizontal="right" vertical="top" shrinkToFit="1"/>
    </xf>
    <xf numFmtId="2" fontId="9" fillId="0" borderId="40" xfId="0" applyNumberFormat="1" applyFont="1" applyBorder="1" applyAlignment="1">
      <alignment horizontal="right" vertical="top" shrinkToFit="1"/>
    </xf>
    <xf numFmtId="0" fontId="1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right" vertical="top"/>
    </xf>
    <xf numFmtId="0" fontId="9" fillId="0" borderId="40" xfId="0" applyFont="1" applyBorder="1" applyAlignment="1">
      <alignment horizontal="right" wrapText="1"/>
    </xf>
    <xf numFmtId="0" fontId="9" fillId="0" borderId="41" xfId="0" applyFont="1" applyBorder="1" applyAlignment="1">
      <alignment horizontal="right" wrapText="1"/>
    </xf>
    <xf numFmtId="0" fontId="9" fillId="0" borderId="42" xfId="0" applyFont="1" applyBorder="1" applyAlignment="1">
      <alignment horizontal="right" wrapText="1"/>
    </xf>
    <xf numFmtId="0" fontId="9" fillId="0" borderId="0" xfId="0" applyFont="1" applyAlignment="1">
      <alignment horizontal="right" vertical="top"/>
    </xf>
    <xf numFmtId="1" fontId="9" fillId="0" borderId="43" xfId="0" applyNumberFormat="1" applyFont="1" applyBorder="1" applyAlignment="1">
      <alignment horizontal="center" vertical="top" shrinkToFit="1"/>
    </xf>
    <xf numFmtId="0" fontId="4" fillId="0" borderId="44" xfId="0" applyFont="1" applyBorder="1" applyAlignment="1">
      <alignment horizontal="left" vertical="top" wrapText="1"/>
    </xf>
    <xf numFmtId="0" fontId="10" fillId="0" borderId="44" xfId="0" applyFont="1" applyBorder="1" applyAlignment="1">
      <alignment horizontal="left" vertical="top" wrapText="1"/>
    </xf>
    <xf numFmtId="1" fontId="9" fillId="0" borderId="44" xfId="0" applyNumberFormat="1" applyFont="1" applyBorder="1" applyAlignment="1">
      <alignment horizontal="center" vertical="top" shrinkToFit="1"/>
    </xf>
    <xf numFmtId="2" fontId="9" fillId="0" borderId="44" xfId="0" applyNumberFormat="1" applyFont="1" applyBorder="1" applyAlignment="1">
      <alignment horizontal="center" vertical="top" shrinkToFit="1"/>
    </xf>
    <xf numFmtId="4" fontId="6" fillId="0" borderId="44" xfId="0" applyNumberFormat="1" applyFont="1" applyBorder="1" applyAlignment="1">
      <alignment horizontal="right" vertical="top" wrapText="1"/>
    </xf>
    <xf numFmtId="0" fontId="11" fillId="0" borderId="44" xfId="0" applyFont="1" applyBorder="1" applyAlignment="1">
      <alignment horizontal="center" vertical="top" wrapText="1"/>
    </xf>
    <xf numFmtId="4" fontId="6" fillId="0" borderId="0" xfId="0" applyNumberFormat="1" applyFont="1" applyAlignment="1">
      <alignment horizontal="right" vertical="top" wrapText="1"/>
    </xf>
    <xf numFmtId="0" fontId="4" fillId="0" borderId="39" xfId="0" applyFont="1" applyBorder="1" applyAlignment="1">
      <alignment horizontal="left" vertical="top" wrapText="1"/>
    </xf>
    <xf numFmtId="0" fontId="11" fillId="0" borderId="40" xfId="0" applyFont="1" applyBorder="1" applyAlignment="1">
      <alignment horizontal="left" vertical="center" wrapText="1"/>
    </xf>
    <xf numFmtId="1" fontId="9" fillId="0" borderId="40" xfId="0" applyNumberFormat="1" applyFont="1" applyBorder="1" applyAlignment="1">
      <alignment horizontal="right" vertical="center" shrinkToFit="1"/>
    </xf>
    <xf numFmtId="0" fontId="9" fillId="0" borderId="44" xfId="0" applyFont="1" applyBorder="1" applyAlignment="1">
      <alignment horizontal="left" wrapText="1"/>
    </xf>
    <xf numFmtId="0" fontId="9" fillId="0" borderId="45" xfId="0" applyFont="1" applyBorder="1" applyAlignment="1">
      <alignment horizontal="left" wrapText="1"/>
    </xf>
    <xf numFmtId="0" fontId="9" fillId="0" borderId="40" xfId="0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9" fillId="0" borderId="42" xfId="0" applyFont="1" applyBorder="1" applyAlignment="1">
      <alignment horizontal="left" wrapText="1"/>
    </xf>
    <xf numFmtId="0" fontId="9" fillId="0" borderId="40" xfId="0" applyFont="1" applyBorder="1" applyAlignment="1">
      <alignment horizontal="left" vertical="center" wrapText="1"/>
    </xf>
    <xf numFmtId="2" fontId="9" fillId="0" borderId="40" xfId="0" applyNumberFormat="1" applyFont="1" applyBorder="1" applyAlignment="1">
      <alignment horizontal="right" vertical="center" shrinkToFit="1"/>
    </xf>
    <xf numFmtId="0" fontId="9" fillId="0" borderId="40" xfId="0" applyFont="1" applyBorder="1" applyAlignment="1">
      <alignment horizontal="right" vertical="center" wrapText="1"/>
    </xf>
    <xf numFmtId="0" fontId="9" fillId="0" borderId="41" xfId="0" applyFont="1" applyBorder="1" applyAlignment="1">
      <alignment horizontal="right" vertical="center" wrapText="1"/>
    </xf>
    <xf numFmtId="0" fontId="9" fillId="0" borderId="42" xfId="0" applyFont="1" applyBorder="1" applyAlignment="1">
      <alignment horizontal="right" vertical="center" wrapText="1"/>
    </xf>
    <xf numFmtId="0" fontId="9" fillId="0" borderId="3" xfId="0" applyFont="1" applyBorder="1" applyAlignment="1">
      <alignment horizontal="right" vertical="top"/>
    </xf>
    <xf numFmtId="0" fontId="9" fillId="0" borderId="38" xfId="0" applyFont="1" applyBorder="1" applyAlignment="1">
      <alignment horizontal="left" wrapText="1"/>
    </xf>
    <xf numFmtId="43" fontId="6" fillId="5" borderId="12" xfId="0" applyNumberFormat="1" applyFont="1" applyFill="1" applyBorder="1" applyAlignment="1">
      <alignment horizontal="right" vertical="center"/>
    </xf>
    <xf numFmtId="0" fontId="9" fillId="0" borderId="38" xfId="0" applyFont="1" applyBorder="1" applyAlignment="1">
      <alignment horizontal="right" vertical="center" wrapText="1"/>
    </xf>
    <xf numFmtId="0" fontId="11" fillId="0" borderId="46" xfId="0" applyFont="1" applyBorder="1" applyAlignment="1">
      <alignment horizontal="left" vertical="top" wrapText="1"/>
    </xf>
    <xf numFmtId="0" fontId="11" fillId="0" borderId="46" xfId="0" applyFont="1" applyBorder="1" applyAlignment="1">
      <alignment vertical="top" wrapText="1"/>
    </xf>
    <xf numFmtId="1" fontId="9" fillId="0" borderId="46" xfId="0" applyNumberFormat="1" applyFont="1" applyBorder="1" applyAlignment="1">
      <alignment horizontal="right" vertical="top" shrinkToFit="1"/>
    </xf>
    <xf numFmtId="2" fontId="9" fillId="0" borderId="46" xfId="0" applyNumberFormat="1" applyFont="1" applyBorder="1" applyAlignment="1">
      <alignment horizontal="right" vertical="top" shrinkToFit="1"/>
    </xf>
    <xf numFmtId="4" fontId="11" fillId="0" borderId="16" xfId="0" applyNumberFormat="1" applyFont="1" applyBorder="1" applyAlignment="1">
      <alignment horizontal="right" vertical="center" wrapText="1"/>
    </xf>
    <xf numFmtId="0" fontId="11" fillId="0" borderId="46" xfId="0" applyFont="1" applyBorder="1" applyAlignment="1">
      <alignment horizontal="right" vertical="top" wrapText="1"/>
    </xf>
    <xf numFmtId="0" fontId="9" fillId="0" borderId="46" xfId="0" applyFont="1" applyBorder="1" applyAlignment="1">
      <alignment horizontal="right" wrapText="1"/>
    </xf>
    <xf numFmtId="0" fontId="9" fillId="0" borderId="47" xfId="0" applyFont="1" applyBorder="1" applyAlignment="1">
      <alignment horizontal="right" wrapText="1"/>
    </xf>
    <xf numFmtId="0" fontId="9" fillId="0" borderId="1" xfId="0" applyFont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9" fillId="0" borderId="40" xfId="0" applyFont="1" applyBorder="1" applyAlignment="1">
      <alignment wrapText="1"/>
    </xf>
    <xf numFmtId="0" fontId="9" fillId="0" borderId="40" xfId="0" applyFont="1" applyBorder="1" applyAlignment="1">
      <alignment vertical="center" wrapText="1"/>
    </xf>
    <xf numFmtId="0" fontId="14" fillId="0" borderId="0" xfId="2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2" applyFont="1" applyAlignment="1">
      <alignment horizontal="center" vertical="top"/>
    </xf>
    <xf numFmtId="0" fontId="6" fillId="0" borderId="0" xfId="2" applyFont="1" applyAlignment="1">
      <alignment horizontal="center" vertical="top" wrapText="1"/>
    </xf>
    <xf numFmtId="0" fontId="10" fillId="0" borderId="0" xfId="2" applyFont="1" applyAlignment="1">
      <alignment horizontal="left" vertical="top" wrapText="1" indent="2"/>
    </xf>
    <xf numFmtId="0" fontId="9" fillId="0" borderId="0" xfId="2" applyFont="1" applyAlignment="1">
      <alignment horizontal="left" wrapText="1"/>
    </xf>
    <xf numFmtId="0" fontId="10" fillId="0" borderId="0" xfId="2" applyFont="1" applyAlignment="1">
      <alignment horizontal="center" vertical="top" wrapText="1"/>
    </xf>
    <xf numFmtId="0" fontId="10" fillId="0" borderId="0" xfId="2" applyFont="1" applyAlignment="1">
      <alignment horizontal="left" vertical="top" wrapText="1"/>
    </xf>
    <xf numFmtId="0" fontId="5" fillId="0" borderId="0" xfId="2" applyFont="1" applyAlignment="1">
      <alignment vertical="center" wrapText="1"/>
    </xf>
    <xf numFmtId="43" fontId="6" fillId="5" borderId="20" xfId="2" applyNumberFormat="1" applyFont="1" applyFill="1" applyBorder="1" applyAlignment="1">
      <alignment horizontal="right" vertical="center"/>
    </xf>
    <xf numFmtId="43" fontId="6" fillId="0" borderId="7" xfId="2" applyNumberFormat="1" applyFont="1" applyBorder="1" applyAlignment="1">
      <alignment horizontal="right" vertical="center" wrapText="1"/>
    </xf>
    <xf numFmtId="0" fontId="9" fillId="0" borderId="3" xfId="2" applyFont="1" applyBorder="1" applyAlignment="1">
      <alignment horizontal="right" vertical="center" wrapText="1"/>
    </xf>
    <xf numFmtId="0" fontId="9" fillId="0" borderId="1" xfId="2" applyFont="1" applyBorder="1" applyAlignment="1">
      <alignment horizontal="right" vertical="center" wrapText="1"/>
    </xf>
    <xf numFmtId="0" fontId="11" fillId="0" borderId="1" xfId="2" applyFont="1" applyBorder="1" applyAlignment="1">
      <alignment horizontal="right" vertical="center" wrapText="1"/>
    </xf>
    <xf numFmtId="4" fontId="11" fillId="0" borderId="1" xfId="2" applyNumberFormat="1" applyFont="1" applyBorder="1" applyAlignment="1">
      <alignment horizontal="right" vertical="center" wrapText="1"/>
    </xf>
    <xf numFmtId="4" fontId="9" fillId="0" borderId="1" xfId="2" applyNumberFormat="1" applyFont="1" applyBorder="1" applyAlignment="1">
      <alignment horizontal="right" vertical="center" shrinkToFit="1"/>
    </xf>
    <xf numFmtId="1" fontId="9" fillId="0" borderId="1" xfId="2" applyNumberFormat="1" applyFont="1" applyBorder="1" applyAlignment="1">
      <alignment horizontal="right" vertical="center" shrinkToFit="1"/>
    </xf>
    <xf numFmtId="0" fontId="11" fillId="0" borderId="1" xfId="2" applyFont="1" applyBorder="1" applyAlignment="1">
      <alignment horizontal="left" vertical="center" wrapText="1"/>
    </xf>
    <xf numFmtId="1" fontId="9" fillId="0" borderId="2" xfId="2" applyNumberFormat="1" applyFont="1" applyBorder="1" applyAlignment="1">
      <alignment horizontal="left" vertical="center" shrinkToFit="1"/>
    </xf>
    <xf numFmtId="0" fontId="11" fillId="6" borderId="3" xfId="2" applyFont="1" applyFill="1" applyBorder="1" applyAlignment="1">
      <alignment horizontal="right" vertical="center" wrapText="1"/>
    </xf>
    <xf numFmtId="0" fontId="11" fillId="6" borderId="1" xfId="2" applyFont="1" applyFill="1" applyBorder="1" applyAlignment="1">
      <alignment horizontal="right" vertical="center" wrapText="1"/>
    </xf>
    <xf numFmtId="0" fontId="9" fillId="0" borderId="1" xfId="2" applyFont="1" applyBorder="1" applyAlignment="1">
      <alignment horizontal="right" vertical="center"/>
    </xf>
    <xf numFmtId="4" fontId="11" fillId="6" borderId="1" xfId="2" applyNumberFormat="1" applyFont="1" applyFill="1" applyBorder="1" applyAlignment="1">
      <alignment horizontal="right" vertical="center" wrapText="1"/>
    </xf>
    <xf numFmtId="4" fontId="11" fillId="6" borderId="1" xfId="2" applyNumberFormat="1" applyFont="1" applyFill="1" applyBorder="1" applyAlignment="1">
      <alignment vertical="center" wrapText="1"/>
    </xf>
    <xf numFmtId="4" fontId="11" fillId="0" borderId="1" xfId="2" applyNumberFormat="1" applyFont="1" applyBorder="1" applyAlignment="1" applyProtection="1">
      <alignment vertical="center" wrapText="1"/>
      <protection locked="0"/>
    </xf>
    <xf numFmtId="49" fontId="11" fillId="0" borderId="1" xfId="2" applyNumberFormat="1" applyFont="1" applyBorder="1" applyAlignment="1" applyProtection="1">
      <alignment horizontal="left" vertical="center" wrapText="1"/>
      <protection locked="0"/>
    </xf>
    <xf numFmtId="0" fontId="9" fillId="0" borderId="3" xfId="2" applyFont="1" applyBorder="1" applyAlignment="1">
      <alignment horizontal="right" wrapText="1"/>
    </xf>
    <xf numFmtId="0" fontId="9" fillId="0" borderId="1" xfId="2" applyFont="1" applyBorder="1" applyAlignment="1">
      <alignment horizontal="right" wrapText="1"/>
    </xf>
    <xf numFmtId="1" fontId="9" fillId="0" borderId="1" xfId="2" applyNumberFormat="1" applyFont="1" applyBorder="1" applyAlignment="1">
      <alignment vertical="center" shrinkToFit="1"/>
    </xf>
    <xf numFmtId="0" fontId="11" fillId="0" borderId="1" xfId="2" applyFont="1" applyBorder="1" applyAlignment="1">
      <alignment vertical="center" wrapText="1"/>
    </xf>
    <xf numFmtId="0" fontId="11" fillId="0" borderId="1" xfId="2" applyFont="1" applyBorder="1" applyAlignment="1">
      <alignment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0" fontId="6" fillId="3" borderId="1" xfId="2" applyFont="1" applyFill="1" applyBorder="1" applyAlignment="1">
      <alignment horizontal="center" vertical="center" wrapText="1"/>
    </xf>
    <xf numFmtId="0" fontId="6" fillId="2" borderId="5" xfId="2" applyFont="1" applyFill="1" applyBorder="1" applyAlignment="1">
      <alignment horizontal="center" vertical="center" wrapText="1"/>
    </xf>
    <xf numFmtId="0" fontId="4" fillId="0" borderId="0" xfId="2" applyFont="1" applyAlignment="1">
      <alignment horizontal="left" vertical="top" wrapText="1"/>
    </xf>
    <xf numFmtId="0" fontId="11" fillId="0" borderId="40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left" vertical="top"/>
    </xf>
    <xf numFmtId="49" fontId="11" fillId="0" borderId="1" xfId="0" applyNumberFormat="1" applyFont="1" applyBorder="1" applyAlignment="1" applyProtection="1">
      <alignment horizontal="left" vertical="center" wrapText="1"/>
      <protection locked="0"/>
    </xf>
    <xf numFmtId="1" fontId="9" fillId="0" borderId="1" xfId="0" applyNumberFormat="1" applyFont="1" applyBorder="1" applyAlignment="1">
      <alignment horizontal="right" vertical="top" shrinkToFit="1"/>
    </xf>
    <xf numFmtId="0" fontId="11" fillId="0" borderId="1" xfId="0" applyFont="1" applyBorder="1" applyAlignment="1">
      <alignment horizontal="right" vertical="top" wrapText="1"/>
    </xf>
    <xf numFmtId="0" fontId="11" fillId="0" borderId="0" xfId="0" applyFont="1" applyAlignment="1">
      <alignment horizontal="left" vertical="center" wrapText="1"/>
    </xf>
    <xf numFmtId="0" fontId="0" fillId="0" borderId="2" xfId="0" applyBorder="1" applyAlignment="1">
      <alignment horizontal="left" vertical="top"/>
    </xf>
    <xf numFmtId="4" fontId="11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0" fillId="0" borderId="1" xfId="0" applyBorder="1" applyAlignment="1">
      <alignment horizontal="left" vertical="top"/>
    </xf>
    <xf numFmtId="0" fontId="16" fillId="0" borderId="0" xfId="0" applyFont="1" applyAlignment="1">
      <alignment horizontal="left" vertical="center" wrapText="1"/>
    </xf>
    <xf numFmtId="4" fontId="11" fillId="6" borderId="1" xfId="0" applyNumberFormat="1" applyFont="1" applyFill="1" applyBorder="1" applyAlignment="1">
      <alignment vertical="center" wrapText="1"/>
    </xf>
    <xf numFmtId="1" fontId="9" fillId="0" borderId="51" xfId="0" applyNumberFormat="1" applyFont="1" applyBorder="1" applyAlignment="1">
      <alignment horizontal="left" vertical="center" shrinkToFit="1"/>
    </xf>
    <xf numFmtId="0" fontId="11" fillId="0" borderId="52" xfId="0" applyFont="1" applyBorder="1" applyAlignment="1">
      <alignment horizontal="left" vertical="center" wrapText="1"/>
    </xf>
    <xf numFmtId="4" fontId="9" fillId="0" borderId="53" xfId="0" applyNumberFormat="1" applyFont="1" applyBorder="1" applyAlignment="1">
      <alignment horizontal="right" vertical="center" shrinkToFit="1"/>
    </xf>
    <xf numFmtId="4" fontId="11" fillId="0" borderId="54" xfId="0" applyNumberFormat="1" applyFont="1" applyBorder="1" applyAlignment="1">
      <alignment horizontal="right" vertical="center" wrapText="1"/>
    </xf>
    <xf numFmtId="43" fontId="6" fillId="0" borderId="1" xfId="0" applyNumberFormat="1" applyFont="1" applyBorder="1" applyAlignment="1">
      <alignment horizontal="right" vertical="center" wrapText="1"/>
    </xf>
    <xf numFmtId="43" fontId="6" fillId="5" borderId="7" xfId="0" applyNumberFormat="1" applyFont="1" applyFill="1" applyBorder="1" applyAlignment="1">
      <alignment horizontal="right" vertical="center"/>
    </xf>
    <xf numFmtId="4" fontId="6" fillId="0" borderId="1" xfId="0" applyNumberFormat="1" applyFont="1" applyBorder="1" applyAlignment="1">
      <alignment horizontal="right" vertical="center" wrapText="1"/>
    </xf>
    <xf numFmtId="2" fontId="15" fillId="0" borderId="1" xfId="0" applyNumberFormat="1" applyFont="1" applyBorder="1" applyAlignment="1">
      <alignment horizontal="right" vertical="center" shrinkToFit="1"/>
    </xf>
    <xf numFmtId="0" fontId="4" fillId="5" borderId="8" xfId="0" applyFont="1" applyFill="1" applyBorder="1" applyAlignment="1">
      <alignment horizontal="left" vertical="top" wrapText="1"/>
    </xf>
    <xf numFmtId="0" fontId="4" fillId="5" borderId="9" xfId="0" applyFont="1" applyFill="1" applyBorder="1" applyAlignment="1">
      <alignment horizontal="left" vertical="top" wrapText="1"/>
    </xf>
    <xf numFmtId="0" fontId="4" fillId="5" borderId="10" xfId="0" applyFont="1" applyFill="1" applyBorder="1" applyAlignment="1">
      <alignment horizontal="left" vertical="top" wrapText="1"/>
    </xf>
    <xf numFmtId="0" fontId="4" fillId="7" borderId="8" xfId="0" applyFont="1" applyFill="1" applyBorder="1" applyAlignment="1">
      <alignment horizontal="left" vertical="top" wrapText="1"/>
    </xf>
    <xf numFmtId="0" fontId="4" fillId="7" borderId="9" xfId="0" applyFont="1" applyFill="1" applyBorder="1" applyAlignment="1">
      <alignment horizontal="left" vertical="top" wrapText="1"/>
    </xf>
    <xf numFmtId="0" fontId="4" fillId="7" borderId="10" xfId="0" applyFont="1" applyFill="1" applyBorder="1" applyAlignment="1">
      <alignment horizontal="left" vertical="top" wrapText="1"/>
    </xf>
    <xf numFmtId="0" fontId="4" fillId="5" borderId="48" xfId="0" applyFont="1" applyFill="1" applyBorder="1" applyAlignment="1">
      <alignment horizontal="left" vertical="top" wrapText="1"/>
    </xf>
    <xf numFmtId="0" fontId="4" fillId="5" borderId="49" xfId="0" applyFont="1" applyFill="1" applyBorder="1" applyAlignment="1">
      <alignment horizontal="left" vertical="top" wrapText="1"/>
    </xf>
    <xf numFmtId="0" fontId="4" fillId="5" borderId="50" xfId="0" applyFont="1" applyFill="1" applyBorder="1" applyAlignment="1">
      <alignment horizontal="left" vertical="top" wrapText="1"/>
    </xf>
    <xf numFmtId="0" fontId="8" fillId="4" borderId="37" xfId="0" applyFont="1" applyFill="1" applyBorder="1" applyAlignment="1">
      <alignment horizontal="left" vertical="top" wrapText="1"/>
    </xf>
    <xf numFmtId="0" fontId="8" fillId="4" borderId="0" xfId="0" applyFont="1" applyFill="1" applyAlignment="1">
      <alignment horizontal="left" vertical="top" wrapText="1"/>
    </xf>
    <xf numFmtId="0" fontId="8" fillId="4" borderId="38" xfId="0" applyFont="1" applyFill="1" applyBorder="1" applyAlignment="1">
      <alignment horizontal="left" vertical="top" wrapText="1"/>
    </xf>
    <xf numFmtId="0" fontId="9" fillId="5" borderId="12" xfId="0" applyFont="1" applyFill="1" applyBorder="1" applyAlignment="1">
      <alignment horizontal="center" wrapText="1"/>
    </xf>
    <xf numFmtId="0" fontId="9" fillId="5" borderId="15" xfId="0" applyFont="1" applyFill="1" applyBorder="1" applyAlignment="1">
      <alignment horizontal="center" wrapText="1"/>
    </xf>
    <xf numFmtId="0" fontId="5" fillId="5" borderId="11" xfId="0" applyFont="1" applyFill="1" applyBorder="1" applyAlignment="1">
      <alignment horizontal="left" vertical="top" wrapText="1"/>
    </xf>
    <xf numFmtId="0" fontId="5" fillId="5" borderId="12" xfId="0" applyFont="1" applyFill="1" applyBorder="1" applyAlignment="1">
      <alignment horizontal="left" vertical="top" wrapText="1"/>
    </xf>
    <xf numFmtId="0" fontId="9" fillId="0" borderId="0" xfId="0" applyFont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 wrapText="1" indent="2"/>
    </xf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6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9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8" fillId="4" borderId="34" xfId="0" applyFont="1" applyFill="1" applyBorder="1" applyAlignment="1">
      <alignment horizontal="left" vertical="top" wrapText="1"/>
    </xf>
    <xf numFmtId="0" fontId="8" fillId="4" borderId="35" xfId="0" applyFont="1" applyFill="1" applyBorder="1" applyAlignment="1">
      <alignment horizontal="left" vertical="top" wrapText="1"/>
    </xf>
    <xf numFmtId="0" fontId="8" fillId="4" borderId="36" xfId="0" applyFont="1" applyFill="1" applyBorder="1" applyAlignment="1">
      <alignment horizontal="left" vertical="top" wrapText="1"/>
    </xf>
    <xf numFmtId="0" fontId="4" fillId="5" borderId="34" xfId="0" applyFont="1" applyFill="1" applyBorder="1" applyAlignment="1">
      <alignment horizontal="left" vertical="top" wrapText="1"/>
    </xf>
    <xf numFmtId="0" fontId="4" fillId="5" borderId="35" xfId="0" applyFont="1" applyFill="1" applyBorder="1" applyAlignment="1">
      <alignment horizontal="left" vertical="top" wrapText="1"/>
    </xf>
    <xf numFmtId="0" fontId="4" fillId="5" borderId="36" xfId="0" applyFont="1" applyFill="1" applyBorder="1" applyAlignment="1">
      <alignment horizontal="left" vertical="top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left" vertical="top" wrapText="1"/>
    </xf>
    <xf numFmtId="0" fontId="8" fillId="4" borderId="9" xfId="0" applyFont="1" applyFill="1" applyBorder="1" applyAlignment="1">
      <alignment horizontal="left" vertical="top" wrapText="1"/>
    </xf>
    <xf numFmtId="0" fontId="8" fillId="4" borderId="10" xfId="0" applyFont="1" applyFill="1" applyBorder="1" applyAlignment="1">
      <alignment horizontal="left" vertical="top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5" borderId="8" xfId="0" applyFont="1" applyFill="1" applyBorder="1" applyAlignment="1">
      <alignment wrapText="1"/>
    </xf>
    <xf numFmtId="0" fontId="4" fillId="5" borderId="9" xfId="0" applyFont="1" applyFill="1" applyBorder="1" applyAlignment="1">
      <alignment wrapText="1"/>
    </xf>
    <xf numFmtId="0" fontId="4" fillId="5" borderId="10" xfId="0" applyFont="1" applyFill="1" applyBorder="1" applyAlignment="1">
      <alignment wrapText="1"/>
    </xf>
    <xf numFmtId="4" fontId="15" fillId="0" borderId="11" xfId="0" applyNumberFormat="1" applyFont="1" applyBorder="1" applyAlignment="1">
      <alignment horizontal="right" vertical="center"/>
    </xf>
    <xf numFmtId="4" fontId="15" fillId="0" borderId="12" xfId="0" applyNumberFormat="1" applyFont="1" applyBorder="1" applyAlignment="1">
      <alignment horizontal="right" vertical="center"/>
    </xf>
    <xf numFmtId="4" fontId="15" fillId="0" borderId="13" xfId="0" applyNumberFormat="1" applyFont="1" applyBorder="1" applyAlignment="1">
      <alignment horizontal="right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left" vertical="top" wrapText="1"/>
    </xf>
    <xf numFmtId="0" fontId="5" fillId="5" borderId="23" xfId="0" applyFont="1" applyFill="1" applyBorder="1" applyAlignment="1">
      <alignment horizontal="left" vertical="top" wrapText="1"/>
    </xf>
    <xf numFmtId="0" fontId="5" fillId="5" borderId="26" xfId="0" applyFont="1" applyFill="1" applyBorder="1" applyAlignment="1">
      <alignment horizontal="left" vertical="top" wrapText="1"/>
    </xf>
    <xf numFmtId="0" fontId="9" fillId="5" borderId="22" xfId="0" applyFont="1" applyFill="1" applyBorder="1" applyAlignment="1">
      <alignment horizontal="center" wrapText="1"/>
    </xf>
    <xf numFmtId="0" fontId="9" fillId="5" borderId="23" xfId="0" applyFont="1" applyFill="1" applyBorder="1" applyAlignment="1">
      <alignment horizontal="center" wrapText="1"/>
    </xf>
    <xf numFmtId="0" fontId="9" fillId="5" borderId="24" xfId="0" applyFont="1" applyFill="1" applyBorder="1" applyAlignment="1">
      <alignment horizontal="center" wrapText="1"/>
    </xf>
    <xf numFmtId="0" fontId="11" fillId="0" borderId="0" xfId="0" applyFont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9" fillId="0" borderId="0" xfId="2" applyFont="1" applyAlignment="1">
      <alignment horizontal="center" vertical="top"/>
    </xf>
    <xf numFmtId="0" fontId="15" fillId="0" borderId="0" xfId="2" applyFont="1" applyAlignment="1">
      <alignment horizontal="center" vertical="top"/>
    </xf>
    <xf numFmtId="0" fontId="11" fillId="0" borderId="0" xfId="2" applyFont="1" applyAlignment="1">
      <alignment horizontal="left" vertical="center" wrapText="1"/>
    </xf>
    <xf numFmtId="0" fontId="10" fillId="0" borderId="0" xfId="2" applyFont="1" applyAlignment="1">
      <alignment horizontal="left" vertical="top" wrapText="1" indent="2"/>
    </xf>
    <xf numFmtId="0" fontId="6" fillId="0" borderId="0" xfId="2" applyFont="1" applyAlignment="1">
      <alignment horizontal="center" vertical="top" wrapText="1"/>
    </xf>
    <xf numFmtId="0" fontId="4" fillId="5" borderId="8" xfId="2" applyFont="1" applyFill="1" applyBorder="1" applyAlignment="1">
      <alignment wrapText="1"/>
    </xf>
    <xf numFmtId="0" fontId="4" fillId="5" borderId="9" xfId="2" applyFont="1" applyFill="1" applyBorder="1" applyAlignment="1">
      <alignment wrapText="1"/>
    </xf>
    <xf numFmtId="0" fontId="4" fillId="5" borderId="10" xfId="2" applyFont="1" applyFill="1" applyBorder="1" applyAlignment="1">
      <alignment wrapText="1"/>
    </xf>
    <xf numFmtId="4" fontId="15" fillId="0" borderId="11" xfId="2" applyNumberFormat="1" applyFont="1" applyBorder="1" applyAlignment="1">
      <alignment horizontal="right" vertical="center"/>
    </xf>
    <xf numFmtId="4" fontId="15" fillId="0" borderId="12" xfId="2" applyNumberFormat="1" applyFont="1" applyBorder="1" applyAlignment="1">
      <alignment horizontal="right" vertical="center"/>
    </xf>
    <xf numFmtId="4" fontId="15" fillId="0" borderId="13" xfId="2" applyNumberFormat="1" applyFont="1" applyBorder="1" applyAlignment="1">
      <alignment horizontal="right" vertical="center"/>
    </xf>
    <xf numFmtId="0" fontId="11" fillId="0" borderId="14" xfId="2" applyFont="1" applyBorder="1" applyAlignment="1">
      <alignment horizontal="center" vertical="center" wrapText="1"/>
    </xf>
    <xf numFmtId="0" fontId="11" fillId="0" borderId="12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2" fillId="0" borderId="21" xfId="2" applyFont="1" applyBorder="1" applyAlignment="1">
      <alignment horizontal="left" vertical="center" wrapText="1"/>
    </xf>
    <xf numFmtId="0" fontId="10" fillId="0" borderId="0" xfId="2" applyFont="1" applyAlignment="1">
      <alignment horizontal="left" wrapText="1"/>
    </xf>
    <xf numFmtId="0" fontId="5" fillId="5" borderId="25" xfId="2" applyFont="1" applyFill="1" applyBorder="1" applyAlignment="1">
      <alignment horizontal="left" vertical="top" wrapText="1"/>
    </xf>
    <xf numFmtId="0" fontId="5" fillId="5" borderId="23" xfId="2" applyFont="1" applyFill="1" applyBorder="1" applyAlignment="1">
      <alignment horizontal="left" vertical="top" wrapText="1"/>
    </xf>
    <xf numFmtId="0" fontId="5" fillId="5" borderId="26" xfId="2" applyFont="1" applyFill="1" applyBorder="1" applyAlignment="1">
      <alignment horizontal="left" vertical="top" wrapText="1"/>
    </xf>
    <xf numFmtId="0" fontId="9" fillId="5" borderId="22" xfId="2" applyFont="1" applyFill="1" applyBorder="1" applyAlignment="1">
      <alignment horizontal="center" wrapText="1"/>
    </xf>
    <xf numFmtId="0" fontId="9" fillId="5" borderId="23" xfId="2" applyFont="1" applyFill="1" applyBorder="1" applyAlignment="1">
      <alignment horizontal="center" wrapText="1"/>
    </xf>
    <xf numFmtId="0" fontId="9" fillId="5" borderId="24" xfId="2" applyFont="1" applyFill="1" applyBorder="1" applyAlignment="1">
      <alignment horizontal="center" wrapText="1"/>
    </xf>
    <xf numFmtId="0" fontId="7" fillId="2" borderId="30" xfId="2" applyFont="1" applyFill="1" applyBorder="1" applyAlignment="1">
      <alignment horizontal="center" vertical="center" wrapText="1"/>
    </xf>
    <xf numFmtId="0" fontId="7" fillId="2" borderId="16" xfId="2" applyFont="1" applyFill="1" applyBorder="1" applyAlignment="1">
      <alignment horizontal="center" vertical="center" wrapText="1"/>
    </xf>
    <xf numFmtId="0" fontId="5" fillId="2" borderId="27" xfId="2" applyFont="1" applyFill="1" applyBorder="1" applyAlignment="1">
      <alignment horizontal="center" vertical="center" wrapText="1"/>
    </xf>
    <xf numFmtId="0" fontId="5" fillId="2" borderId="28" xfId="2" applyFont="1" applyFill="1" applyBorder="1" applyAlignment="1">
      <alignment horizontal="center" vertical="center" wrapText="1"/>
    </xf>
    <xf numFmtId="0" fontId="5" fillId="2" borderId="29" xfId="2" applyFont="1" applyFill="1" applyBorder="1" applyAlignment="1">
      <alignment horizontal="center" vertical="center" wrapText="1"/>
    </xf>
    <xf numFmtId="0" fontId="1" fillId="0" borderId="0" xfId="2" applyFont="1" applyAlignment="1">
      <alignment horizontal="left" vertical="top" wrapText="1"/>
    </xf>
    <xf numFmtId="0" fontId="2" fillId="0" borderId="0" xfId="2" applyFont="1" applyAlignment="1">
      <alignment horizontal="center" vertical="top" wrapText="1"/>
    </xf>
    <xf numFmtId="0" fontId="3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4" fillId="0" borderId="0" xfId="2" applyFont="1" applyAlignment="1">
      <alignment horizontal="left" vertical="center" wrapText="1"/>
    </xf>
    <xf numFmtId="0" fontId="5" fillId="2" borderId="31" xfId="2" applyFont="1" applyFill="1" applyBorder="1" applyAlignment="1">
      <alignment horizontal="center" vertical="center" wrapText="1"/>
    </xf>
    <xf numFmtId="0" fontId="5" fillId="2" borderId="17" xfId="2" applyFont="1" applyFill="1" applyBorder="1" applyAlignment="1">
      <alignment horizontal="center" vertical="center" wrapText="1"/>
    </xf>
    <xf numFmtId="0" fontId="4" fillId="3" borderId="30" xfId="2" applyFont="1" applyFill="1" applyBorder="1" applyAlignment="1">
      <alignment horizontal="center" vertical="center" wrapText="1"/>
    </xf>
    <xf numFmtId="0" fontId="4" fillId="3" borderId="16" xfId="2" applyFont="1" applyFill="1" applyBorder="1" applyAlignment="1">
      <alignment horizontal="center" vertical="center" wrapText="1"/>
    </xf>
    <xf numFmtId="0" fontId="6" fillId="2" borderId="30" xfId="2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0" fontId="4" fillId="5" borderId="3" xfId="0" applyFont="1" applyFill="1" applyBorder="1" applyAlignment="1">
      <alignment wrapText="1"/>
    </xf>
    <xf numFmtId="4" fontId="15" fillId="0" borderId="32" xfId="0" applyNumberFormat="1" applyFont="1" applyBorder="1" applyAlignment="1">
      <alignment horizontal="right" vertical="center"/>
    </xf>
    <xf numFmtId="4" fontId="15" fillId="0" borderId="7" xfId="0" applyNumberFormat="1" applyFont="1" applyBorder="1" applyAlignment="1">
      <alignment horizontal="right" vertical="center"/>
    </xf>
    <xf numFmtId="0" fontId="11" fillId="0" borderId="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5" borderId="33" xfId="0" applyFont="1" applyFill="1" applyBorder="1" applyAlignment="1">
      <alignment wrapText="1"/>
    </xf>
    <xf numFmtId="0" fontId="4" fillId="5" borderId="28" xfId="0" applyFont="1" applyFill="1" applyBorder="1" applyAlignment="1">
      <alignment wrapText="1"/>
    </xf>
    <xf numFmtId="0" fontId="4" fillId="5" borderId="29" xfId="0" applyFont="1" applyFill="1" applyBorder="1" applyAlignment="1">
      <alignment wrapText="1"/>
    </xf>
    <xf numFmtId="4" fontId="15" fillId="0" borderId="2" xfId="0" applyNumberFormat="1" applyFont="1" applyBorder="1" applyAlignment="1">
      <alignment horizontal="right" vertical="center"/>
    </xf>
    <xf numFmtId="4" fontId="15" fillId="0" borderId="1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left" vertical="top" wrapText="1"/>
    </xf>
    <xf numFmtId="0" fontId="5" fillId="5" borderId="7" xfId="0" applyFont="1" applyFill="1" applyBorder="1" applyAlignment="1">
      <alignment horizontal="left" vertical="top" wrapText="1"/>
    </xf>
    <xf numFmtId="0" fontId="9" fillId="5" borderId="7" xfId="0" applyFont="1" applyFill="1" applyBorder="1" applyAlignment="1">
      <alignment horizontal="center" wrapText="1"/>
    </xf>
    <xf numFmtId="0" fontId="9" fillId="5" borderId="18" xfId="0" applyFont="1" applyFill="1" applyBorder="1" applyAlignment="1">
      <alignment horizontal="center" wrapText="1"/>
    </xf>
    <xf numFmtId="0" fontId="11" fillId="0" borderId="55" xfId="0" applyFont="1" applyBorder="1" applyAlignment="1">
      <alignment horizontal="left" vertical="center" wrapText="1"/>
    </xf>
    <xf numFmtId="4" fontId="9" fillId="0" borderId="56" xfId="0" applyNumberFormat="1" applyFont="1" applyBorder="1" applyAlignment="1">
      <alignment horizontal="right" vertical="center" shrinkToFit="1"/>
    </xf>
    <xf numFmtId="1" fontId="9" fillId="0" borderId="8" xfId="0" applyNumberFormat="1" applyFont="1" applyBorder="1" applyAlignment="1">
      <alignment horizontal="left" vertical="center" shrinkToFi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17"/>
  <sheetViews>
    <sheetView workbookViewId="0">
      <selection activeCell="F90" sqref="F90"/>
    </sheetView>
  </sheetViews>
  <sheetFormatPr defaultColWidth="9.33203125" defaultRowHeight="13.2" x14ac:dyDescent="0.25"/>
  <cols>
    <col min="1" max="1" width="5.44140625" style="8" customWidth="1"/>
    <col min="2" max="2" width="64.6640625" style="8" customWidth="1"/>
    <col min="3" max="3" width="18.44140625" style="8" customWidth="1"/>
    <col min="4" max="4" width="5.6640625" style="8" customWidth="1"/>
    <col min="5" max="5" width="11.77734375" style="8" customWidth="1"/>
    <col min="6" max="6" width="22" style="8" customWidth="1"/>
    <col min="7" max="7" width="24" style="8" customWidth="1"/>
    <col min="8" max="8" width="5.77734375" style="8" customWidth="1"/>
    <col min="9" max="9" width="6" style="8" customWidth="1"/>
    <col min="10" max="10" width="6.33203125" style="8" customWidth="1"/>
    <col min="11" max="11" width="5.77734375" style="8" customWidth="1"/>
    <col min="12" max="12" width="6.6640625" style="8" customWidth="1"/>
    <col min="13" max="13" width="5.77734375" style="8" customWidth="1"/>
    <col min="14" max="14" width="6.6640625" style="8" customWidth="1"/>
    <col min="15" max="16" width="6.109375" style="8" customWidth="1"/>
    <col min="17" max="17" width="5.77734375" style="8" customWidth="1"/>
    <col min="18" max="18" width="6.44140625" style="8" customWidth="1"/>
    <col min="19" max="19" width="6.109375" style="8" customWidth="1"/>
    <col min="20" max="22" width="9.33203125" style="8"/>
    <col min="23" max="23" width="17" style="8" customWidth="1"/>
    <col min="24" max="16384" width="9.33203125" style="8"/>
  </cols>
  <sheetData>
    <row r="1" spans="1:19" ht="12.75" customHeight="1" x14ac:dyDescent="0.25">
      <c r="A1" s="189" t="s">
        <v>90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1:19" ht="27" customHeight="1" x14ac:dyDescent="0.25">
      <c r="A2" s="185" t="s">
        <v>162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9" ht="21" customHeight="1" x14ac:dyDescent="0.25">
      <c r="A3" s="186" t="s">
        <v>0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1:19" ht="16.5" customHeight="1" x14ac:dyDescent="0.25">
      <c r="A4" s="187" t="s">
        <v>4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</row>
    <row r="5" spans="1:19" ht="16.5" customHeight="1" x14ac:dyDescent="0.25">
      <c r="A5" s="50"/>
      <c r="B5" s="50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1:19" s="9" customFormat="1" ht="31.5" customHeight="1" thickBot="1" x14ac:dyDescent="0.3">
      <c r="A6" s="188" t="s">
        <v>52</v>
      </c>
      <c r="B6" s="188"/>
      <c r="C6" s="188"/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</row>
    <row r="7" spans="1:19" s="10" customFormat="1" ht="18" customHeight="1" x14ac:dyDescent="0.25">
      <c r="A7" s="204" t="s">
        <v>6</v>
      </c>
      <c r="B7" s="206" t="s">
        <v>31</v>
      </c>
      <c r="C7" s="208" t="s">
        <v>30</v>
      </c>
      <c r="D7" s="52" t="s">
        <v>32</v>
      </c>
      <c r="E7" s="208" t="s">
        <v>33</v>
      </c>
      <c r="F7" s="208" t="s">
        <v>53</v>
      </c>
      <c r="G7" s="196" t="s">
        <v>34</v>
      </c>
      <c r="H7" s="198" t="s">
        <v>1</v>
      </c>
      <c r="I7" s="199"/>
      <c r="J7" s="199"/>
      <c r="K7" s="199"/>
      <c r="L7" s="199"/>
      <c r="M7" s="199"/>
      <c r="N7" s="199"/>
      <c r="O7" s="199"/>
      <c r="P7" s="199"/>
      <c r="Q7" s="199"/>
      <c r="R7" s="199"/>
      <c r="S7" s="200"/>
    </row>
    <row r="8" spans="1:19" s="10" customFormat="1" ht="23.4" customHeight="1" x14ac:dyDescent="0.25">
      <c r="A8" s="205"/>
      <c r="B8" s="207"/>
      <c r="C8" s="209"/>
      <c r="D8" s="14" t="s">
        <v>35</v>
      </c>
      <c r="E8" s="209"/>
      <c r="F8" s="209"/>
      <c r="G8" s="197"/>
      <c r="H8" s="15" t="s">
        <v>36</v>
      </c>
      <c r="I8" s="15" t="s">
        <v>37</v>
      </c>
      <c r="J8" s="15" t="s">
        <v>38</v>
      </c>
      <c r="K8" s="15" t="s">
        <v>39</v>
      </c>
      <c r="L8" s="15" t="s">
        <v>40</v>
      </c>
      <c r="M8" s="15" t="s">
        <v>41</v>
      </c>
      <c r="N8" s="15" t="s">
        <v>42</v>
      </c>
      <c r="O8" s="15" t="s">
        <v>43</v>
      </c>
      <c r="P8" s="15" t="s">
        <v>44</v>
      </c>
      <c r="Q8" s="15" t="s">
        <v>45</v>
      </c>
      <c r="R8" s="15" t="s">
        <v>2</v>
      </c>
      <c r="S8" s="17" t="s">
        <v>7</v>
      </c>
    </row>
    <row r="9" spans="1:19" ht="12" hidden="1" customHeight="1" x14ac:dyDescent="0.25">
      <c r="A9" s="201" t="s">
        <v>51</v>
      </c>
      <c r="B9" s="202"/>
      <c r="C9" s="202"/>
      <c r="D9" s="202"/>
      <c r="E9" s="202"/>
      <c r="F9" s="202"/>
      <c r="G9" s="202"/>
      <c r="H9" s="202"/>
      <c r="I9" s="202"/>
      <c r="J9" s="202"/>
      <c r="K9" s="202"/>
      <c r="L9" s="202"/>
      <c r="M9" s="202"/>
      <c r="N9" s="202"/>
      <c r="O9" s="202"/>
      <c r="P9" s="202"/>
      <c r="Q9" s="202"/>
      <c r="R9" s="202"/>
      <c r="S9" s="203"/>
    </row>
    <row r="10" spans="1:19" customFormat="1" ht="21.6" customHeight="1" x14ac:dyDescent="0.25">
      <c r="A10" s="190" t="s">
        <v>51</v>
      </c>
      <c r="B10" s="191"/>
      <c r="C10" s="191"/>
      <c r="D10" s="191"/>
      <c r="E10" s="191"/>
      <c r="F10" s="191"/>
      <c r="G10" s="191"/>
      <c r="H10" s="191"/>
      <c r="I10" s="191"/>
      <c r="J10" s="191"/>
      <c r="K10" s="191"/>
      <c r="L10" s="191"/>
      <c r="M10" s="191"/>
      <c r="N10" s="191"/>
      <c r="O10" s="191"/>
      <c r="P10" s="191"/>
      <c r="Q10" s="191"/>
      <c r="R10" s="191"/>
      <c r="S10" s="192"/>
    </row>
    <row r="11" spans="1:19" customFormat="1" ht="18" customHeight="1" x14ac:dyDescent="0.25">
      <c r="A11" s="193" t="s">
        <v>91</v>
      </c>
      <c r="B11" s="194"/>
      <c r="C11" s="194"/>
      <c r="D11" s="194"/>
      <c r="E11" s="194"/>
      <c r="F11" s="194"/>
      <c r="G11" s="194"/>
      <c r="H11" s="194"/>
      <c r="I11" s="194"/>
      <c r="J11" s="194"/>
      <c r="K11" s="194"/>
      <c r="L11" s="194"/>
      <c r="M11" s="194"/>
      <c r="N11" s="194"/>
      <c r="O11" s="194"/>
      <c r="P11" s="194"/>
      <c r="Q11" s="194"/>
      <c r="R11" s="194"/>
      <c r="S11" s="195"/>
    </row>
    <row r="12" spans="1:19" x14ac:dyDescent="0.25">
      <c r="A12" s="40">
        <v>1</v>
      </c>
      <c r="B12" s="6" t="s">
        <v>115</v>
      </c>
      <c r="C12" s="6" t="s">
        <v>65</v>
      </c>
      <c r="D12" s="25">
        <v>6</v>
      </c>
      <c r="E12" s="27">
        <v>405.49</v>
      </c>
      <c r="F12" s="22">
        <f>E12*D12</f>
        <v>2432.94</v>
      </c>
      <c r="G12" s="16" t="s">
        <v>18</v>
      </c>
      <c r="H12" s="38">
        <v>2</v>
      </c>
      <c r="I12" s="38"/>
      <c r="J12" s="38"/>
      <c r="K12" s="38">
        <v>2</v>
      </c>
      <c r="L12" s="38"/>
      <c r="M12" s="38"/>
      <c r="N12" s="38">
        <v>2</v>
      </c>
      <c r="O12" s="38"/>
      <c r="P12" s="38"/>
      <c r="Q12" s="38"/>
      <c r="R12" s="38"/>
      <c r="S12" s="39"/>
    </row>
    <row r="13" spans="1:19" customFormat="1" ht="13.8" x14ac:dyDescent="0.25">
      <c r="A13" s="69"/>
      <c r="B13" s="70" t="s">
        <v>94</v>
      </c>
      <c r="C13" s="71"/>
      <c r="D13" s="72"/>
      <c r="E13" s="73"/>
      <c r="F13" s="74">
        <f>SUM(F12)</f>
        <v>2432.94</v>
      </c>
      <c r="G13" s="75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1"/>
    </row>
    <row r="14" spans="1:19" customFormat="1" ht="17.850000000000001" customHeight="1" x14ac:dyDescent="0.25">
      <c r="A14" s="169" t="s">
        <v>92</v>
      </c>
      <c r="B14" s="170"/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1"/>
    </row>
    <row r="15" spans="1:19" ht="12" customHeight="1" x14ac:dyDescent="0.25">
      <c r="A15" s="40">
        <v>1</v>
      </c>
      <c r="B15" s="35" t="s">
        <v>58</v>
      </c>
      <c r="C15" s="35" t="s">
        <v>8</v>
      </c>
      <c r="D15" s="25">
        <v>20</v>
      </c>
      <c r="E15" s="27">
        <v>22.17</v>
      </c>
      <c r="F15" s="22">
        <f t="shared" ref="F15:F23" si="0">E15*D15</f>
        <v>443.40000000000003</v>
      </c>
      <c r="G15" s="16" t="s">
        <v>18</v>
      </c>
      <c r="H15" s="38">
        <v>20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9"/>
    </row>
    <row r="16" spans="1:19" x14ac:dyDescent="0.25">
      <c r="A16" s="40">
        <v>2</v>
      </c>
      <c r="B16" s="35" t="s">
        <v>59</v>
      </c>
      <c r="C16" s="35" t="s">
        <v>8</v>
      </c>
      <c r="D16" s="25">
        <v>20</v>
      </c>
      <c r="E16" s="27">
        <v>22.17</v>
      </c>
      <c r="F16" s="22">
        <f t="shared" si="0"/>
        <v>443.40000000000003</v>
      </c>
      <c r="G16" s="16" t="s">
        <v>18</v>
      </c>
      <c r="H16" s="38">
        <v>20</v>
      </c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9"/>
    </row>
    <row r="17" spans="1:23" x14ac:dyDescent="0.25">
      <c r="A17" s="40">
        <v>3</v>
      </c>
      <c r="B17" s="35" t="s">
        <v>60</v>
      </c>
      <c r="C17" s="35" t="s">
        <v>8</v>
      </c>
      <c r="D17" s="25">
        <v>20</v>
      </c>
      <c r="E17" s="27">
        <v>22.01</v>
      </c>
      <c r="F17" s="22">
        <f t="shared" si="0"/>
        <v>440.20000000000005</v>
      </c>
      <c r="G17" s="16" t="s">
        <v>18</v>
      </c>
      <c r="H17" s="38">
        <v>20</v>
      </c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9"/>
    </row>
    <row r="18" spans="1:23" x14ac:dyDescent="0.25">
      <c r="A18" s="40">
        <v>4</v>
      </c>
      <c r="B18" s="35" t="s">
        <v>61</v>
      </c>
      <c r="C18" s="35" t="s">
        <v>8</v>
      </c>
      <c r="D18" s="25">
        <v>20</v>
      </c>
      <c r="E18" s="27">
        <v>15.83</v>
      </c>
      <c r="F18" s="22">
        <f t="shared" si="0"/>
        <v>316.60000000000002</v>
      </c>
      <c r="G18" s="16" t="s">
        <v>18</v>
      </c>
      <c r="H18" s="38">
        <v>20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9"/>
    </row>
    <row r="19" spans="1:23" x14ac:dyDescent="0.25">
      <c r="A19" s="40">
        <v>5</v>
      </c>
      <c r="B19" s="35" t="s">
        <v>62</v>
      </c>
      <c r="C19" s="35" t="s">
        <v>8</v>
      </c>
      <c r="D19" s="25">
        <v>20</v>
      </c>
      <c r="E19" s="27">
        <v>15.32</v>
      </c>
      <c r="F19" s="22">
        <f t="shared" si="0"/>
        <v>306.39999999999998</v>
      </c>
      <c r="G19" s="16" t="s">
        <v>18</v>
      </c>
      <c r="H19" s="38">
        <v>20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9"/>
    </row>
    <row r="20" spans="1:23" x14ac:dyDescent="0.25">
      <c r="A20" s="40">
        <v>6</v>
      </c>
      <c r="B20" s="35" t="s">
        <v>63</v>
      </c>
      <c r="C20" s="35" t="s">
        <v>8</v>
      </c>
      <c r="D20" s="25">
        <v>20</v>
      </c>
      <c r="E20" s="27">
        <v>15.13</v>
      </c>
      <c r="F20" s="22">
        <f t="shared" si="0"/>
        <v>302.60000000000002</v>
      </c>
      <c r="G20" s="16" t="s">
        <v>18</v>
      </c>
      <c r="H20" s="38">
        <v>20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9"/>
    </row>
    <row r="21" spans="1:23" x14ac:dyDescent="0.25">
      <c r="A21" s="40">
        <v>7</v>
      </c>
      <c r="B21" s="35" t="s">
        <v>135</v>
      </c>
      <c r="C21" s="35" t="s">
        <v>8</v>
      </c>
      <c r="D21" s="25">
        <v>20</v>
      </c>
      <c r="E21" s="27">
        <v>27.11</v>
      </c>
      <c r="F21" s="22">
        <f t="shared" si="0"/>
        <v>542.20000000000005</v>
      </c>
      <c r="G21" s="16" t="s">
        <v>18</v>
      </c>
      <c r="H21" s="38">
        <v>20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9"/>
    </row>
    <row r="22" spans="1:23" x14ac:dyDescent="0.25">
      <c r="A22" s="40">
        <v>8</v>
      </c>
      <c r="B22" s="35" t="s">
        <v>136</v>
      </c>
      <c r="C22" s="35" t="s">
        <v>8</v>
      </c>
      <c r="D22" s="25">
        <v>20</v>
      </c>
      <c r="E22" s="27">
        <v>27.11</v>
      </c>
      <c r="F22" s="22">
        <f t="shared" si="0"/>
        <v>542.20000000000005</v>
      </c>
      <c r="G22" s="16" t="s">
        <v>18</v>
      </c>
      <c r="H22" s="38">
        <v>20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9"/>
    </row>
    <row r="23" spans="1:23" x14ac:dyDescent="0.25">
      <c r="A23" s="40">
        <v>9</v>
      </c>
      <c r="B23" s="35" t="s">
        <v>137</v>
      </c>
      <c r="C23" s="35" t="s">
        <v>8</v>
      </c>
      <c r="D23" s="25">
        <v>20</v>
      </c>
      <c r="E23" s="27">
        <v>27.11</v>
      </c>
      <c r="F23" s="22">
        <f t="shared" si="0"/>
        <v>542.20000000000005</v>
      </c>
      <c r="G23" s="16" t="s">
        <v>18</v>
      </c>
      <c r="H23" s="38">
        <v>20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9"/>
    </row>
    <row r="24" spans="1:23" x14ac:dyDescent="0.25">
      <c r="A24" s="40">
        <v>10</v>
      </c>
      <c r="B24" s="35" t="s">
        <v>141</v>
      </c>
      <c r="C24" s="35" t="s">
        <v>14</v>
      </c>
      <c r="D24" s="25">
        <v>10</v>
      </c>
      <c r="E24" s="27">
        <v>17.95</v>
      </c>
      <c r="F24" s="22">
        <f>E24*D24</f>
        <v>179.5</v>
      </c>
      <c r="G24" s="16" t="s">
        <v>18</v>
      </c>
      <c r="H24" s="38">
        <v>10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9"/>
      <c r="W24" s="49"/>
    </row>
    <row r="25" spans="1:23" x14ac:dyDescent="0.25">
      <c r="A25" s="40">
        <v>11</v>
      </c>
      <c r="B25" s="35" t="s">
        <v>142</v>
      </c>
      <c r="C25" s="35" t="s">
        <v>14</v>
      </c>
      <c r="D25" s="25">
        <v>10</v>
      </c>
      <c r="E25" s="27">
        <v>29.56</v>
      </c>
      <c r="F25" s="22">
        <f>E25*D25</f>
        <v>295.59999999999997</v>
      </c>
      <c r="G25" s="16" t="s">
        <v>18</v>
      </c>
      <c r="H25" s="38">
        <v>10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9"/>
      <c r="W25" s="49"/>
    </row>
    <row r="26" spans="1:23" customFormat="1" ht="13.8" x14ac:dyDescent="0.25">
      <c r="A26" s="69"/>
      <c r="B26" s="70" t="s">
        <v>94</v>
      </c>
      <c r="C26" s="71"/>
      <c r="D26" s="72"/>
      <c r="E26" s="73"/>
      <c r="F26" s="74">
        <f>SUM(F15:F25)</f>
        <v>4354.3</v>
      </c>
      <c r="G26" s="75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1"/>
    </row>
    <row r="27" spans="1:23" customFormat="1" ht="14.25" customHeight="1" x14ac:dyDescent="0.25">
      <c r="A27" s="166" t="s">
        <v>93</v>
      </c>
      <c r="B27" s="167"/>
      <c r="C27" s="167"/>
      <c r="D27" s="167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8"/>
    </row>
    <row r="28" spans="1:23" customFormat="1" x14ac:dyDescent="0.25">
      <c r="A28" s="40">
        <v>1</v>
      </c>
      <c r="B28" s="55" t="s">
        <v>109</v>
      </c>
      <c r="C28" s="54" t="s">
        <v>8</v>
      </c>
      <c r="D28" s="60">
        <v>20</v>
      </c>
      <c r="E28" s="61">
        <v>68.64</v>
      </c>
      <c r="F28" s="22">
        <f>E28*D28</f>
        <v>1372.8</v>
      </c>
      <c r="G28" s="56" t="s">
        <v>18</v>
      </c>
      <c r="H28" s="65">
        <v>10</v>
      </c>
      <c r="I28" s="65">
        <v>10</v>
      </c>
      <c r="J28" s="65"/>
      <c r="K28" s="65"/>
      <c r="L28" s="65"/>
      <c r="M28" s="68"/>
      <c r="N28" s="65"/>
      <c r="O28" s="65"/>
      <c r="P28" s="65"/>
      <c r="Q28" s="65"/>
      <c r="R28" s="66"/>
      <c r="S28" s="67"/>
    </row>
    <row r="29" spans="1:23" x14ac:dyDescent="0.25">
      <c r="A29" s="40">
        <v>2</v>
      </c>
      <c r="B29" s="8" t="s">
        <v>117</v>
      </c>
      <c r="C29" s="6" t="s">
        <v>118</v>
      </c>
      <c r="D29" s="25">
        <v>20</v>
      </c>
      <c r="E29" s="27">
        <v>222.49</v>
      </c>
      <c r="F29" s="22">
        <f>E29*D29</f>
        <v>4449.8</v>
      </c>
      <c r="G29" s="16" t="s">
        <v>18</v>
      </c>
      <c r="H29" s="38">
        <v>20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9"/>
    </row>
    <row r="30" spans="1:23" x14ac:dyDescent="0.25">
      <c r="A30" s="40">
        <v>3</v>
      </c>
      <c r="B30" s="35" t="s">
        <v>119</v>
      </c>
      <c r="C30" s="6" t="s">
        <v>8</v>
      </c>
      <c r="D30" s="26">
        <v>20</v>
      </c>
      <c r="E30" s="23">
        <v>38.229999999999997</v>
      </c>
      <c r="F30" s="22">
        <f>E30*D30</f>
        <v>764.59999999999991</v>
      </c>
      <c r="G30" s="16" t="s">
        <v>18</v>
      </c>
      <c r="H30" s="38">
        <v>20</v>
      </c>
      <c r="I30" s="38"/>
      <c r="J30" s="38"/>
      <c r="K30" s="38"/>
      <c r="L30" s="38"/>
      <c r="M30" s="38"/>
      <c r="N30" s="37"/>
      <c r="O30" s="38"/>
      <c r="P30" s="38"/>
      <c r="Q30" s="38"/>
      <c r="R30" s="38"/>
      <c r="S30" s="93"/>
    </row>
    <row r="31" spans="1:23" x14ac:dyDescent="0.25">
      <c r="A31" s="40">
        <v>4</v>
      </c>
      <c r="B31" s="6" t="s">
        <v>120</v>
      </c>
      <c r="C31" s="6" t="s">
        <v>11</v>
      </c>
      <c r="D31" s="25">
        <v>30</v>
      </c>
      <c r="E31" s="27">
        <v>11.29</v>
      </c>
      <c r="F31" s="22">
        <f t="shared" ref="F31:F36" si="1">E31*D31</f>
        <v>338.7</v>
      </c>
      <c r="G31" s="16" t="s">
        <v>18</v>
      </c>
      <c r="H31" s="38">
        <v>10</v>
      </c>
      <c r="I31" s="38"/>
      <c r="J31" s="38"/>
      <c r="K31" s="38"/>
      <c r="L31" s="38">
        <v>10</v>
      </c>
      <c r="M31" s="38"/>
      <c r="N31" s="38"/>
      <c r="O31" s="38"/>
      <c r="P31" s="38">
        <v>10</v>
      </c>
      <c r="Q31" s="38"/>
      <c r="R31" s="38"/>
      <c r="S31" s="39"/>
    </row>
    <row r="32" spans="1:23" x14ac:dyDescent="0.25">
      <c r="A32" s="40">
        <v>5</v>
      </c>
      <c r="B32" s="6" t="s">
        <v>122</v>
      </c>
      <c r="C32" s="6" t="s">
        <v>11</v>
      </c>
      <c r="D32" s="25">
        <v>30</v>
      </c>
      <c r="E32" s="27">
        <v>19.91</v>
      </c>
      <c r="F32" s="22">
        <f t="shared" si="1"/>
        <v>597.29999999999995</v>
      </c>
      <c r="G32" s="16" t="s">
        <v>18</v>
      </c>
      <c r="H32" s="38">
        <v>10</v>
      </c>
      <c r="I32" s="38"/>
      <c r="J32" s="38"/>
      <c r="K32" s="38"/>
      <c r="L32" s="38">
        <v>10</v>
      </c>
      <c r="M32" s="38"/>
      <c r="N32" s="38"/>
      <c r="O32" s="38"/>
      <c r="P32" s="38">
        <v>10</v>
      </c>
      <c r="Q32" s="38"/>
      <c r="R32" s="38"/>
      <c r="S32" s="39"/>
    </row>
    <row r="33" spans="1:19" x14ac:dyDescent="0.25">
      <c r="A33" s="40">
        <v>6</v>
      </c>
      <c r="B33" s="6" t="s">
        <v>121</v>
      </c>
      <c r="C33" s="6" t="s">
        <v>11</v>
      </c>
      <c r="D33" s="25">
        <v>30</v>
      </c>
      <c r="E33" s="27">
        <v>29.35</v>
      </c>
      <c r="F33" s="22">
        <f>E33*D33</f>
        <v>880.5</v>
      </c>
      <c r="G33" s="16" t="s">
        <v>18</v>
      </c>
      <c r="H33" s="38">
        <v>10</v>
      </c>
      <c r="I33" s="38"/>
      <c r="J33" s="38"/>
      <c r="K33" s="38"/>
      <c r="L33" s="38">
        <v>10</v>
      </c>
      <c r="M33" s="38"/>
      <c r="N33" s="38"/>
      <c r="O33" s="38"/>
      <c r="P33" s="38">
        <v>10</v>
      </c>
      <c r="Q33" s="38"/>
      <c r="R33" s="38"/>
      <c r="S33" s="39"/>
    </row>
    <row r="34" spans="1:19" customFormat="1" x14ac:dyDescent="0.25">
      <c r="A34" s="40">
        <v>7</v>
      </c>
      <c r="B34" s="95" t="s">
        <v>132</v>
      </c>
      <c r="C34" s="94" t="s">
        <v>64</v>
      </c>
      <c r="D34" s="96">
        <v>8</v>
      </c>
      <c r="E34" s="97">
        <v>37.61</v>
      </c>
      <c r="F34" s="98">
        <f t="shared" si="1"/>
        <v>300.88</v>
      </c>
      <c r="G34" s="99" t="s">
        <v>18</v>
      </c>
      <c r="H34" s="100">
        <v>8</v>
      </c>
      <c r="I34" s="100"/>
      <c r="J34" s="100"/>
      <c r="K34" s="100"/>
      <c r="L34" s="100"/>
      <c r="M34" s="100"/>
      <c r="N34" s="100"/>
      <c r="O34" s="100"/>
      <c r="P34" s="100"/>
      <c r="Q34" s="100"/>
      <c r="R34" s="101"/>
      <c r="S34" s="67"/>
    </row>
    <row r="35" spans="1:19" customFormat="1" x14ac:dyDescent="0.25">
      <c r="A35" s="40">
        <v>8</v>
      </c>
      <c r="B35" s="55" t="s">
        <v>130</v>
      </c>
      <c r="C35" s="54" t="s">
        <v>64</v>
      </c>
      <c r="D35" s="60">
        <v>8</v>
      </c>
      <c r="E35" s="61">
        <v>60.17</v>
      </c>
      <c r="F35" s="22">
        <f t="shared" si="1"/>
        <v>481.36</v>
      </c>
      <c r="G35" s="56" t="s">
        <v>18</v>
      </c>
      <c r="H35" s="65">
        <v>8</v>
      </c>
      <c r="I35" s="65"/>
      <c r="J35" s="65"/>
      <c r="K35" s="65"/>
      <c r="L35" s="65"/>
      <c r="M35" s="65"/>
      <c r="N35" s="65"/>
      <c r="O35" s="65"/>
      <c r="P35" s="65"/>
      <c r="Q35" s="65"/>
      <c r="R35" s="66"/>
      <c r="S35" s="67"/>
    </row>
    <row r="36" spans="1:19" customFormat="1" x14ac:dyDescent="0.25">
      <c r="A36" s="40">
        <v>9</v>
      </c>
      <c r="B36" s="55" t="s">
        <v>131</v>
      </c>
      <c r="C36" s="54" t="s">
        <v>64</v>
      </c>
      <c r="D36" s="60">
        <v>8</v>
      </c>
      <c r="E36" s="61">
        <v>52.78</v>
      </c>
      <c r="F36" s="22">
        <f t="shared" si="1"/>
        <v>422.24</v>
      </c>
      <c r="G36" s="56" t="s">
        <v>18</v>
      </c>
      <c r="H36" s="65">
        <v>8</v>
      </c>
      <c r="I36" s="65"/>
      <c r="J36" s="65"/>
      <c r="K36" s="65"/>
      <c r="L36" s="65"/>
      <c r="M36" s="65"/>
      <c r="N36" s="65"/>
      <c r="O36" s="65"/>
      <c r="P36" s="65"/>
      <c r="Q36" s="65"/>
      <c r="R36" s="66"/>
      <c r="S36" s="67"/>
    </row>
    <row r="37" spans="1:19" customFormat="1" ht="13.8" x14ac:dyDescent="0.25">
      <c r="A37" s="69"/>
      <c r="B37" s="70" t="s">
        <v>94</v>
      </c>
      <c r="C37" s="71"/>
      <c r="D37" s="72"/>
      <c r="E37" s="73"/>
      <c r="F37" s="74">
        <f>SUM(F28:F36)</f>
        <v>9608.18</v>
      </c>
      <c r="G37" s="75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1"/>
    </row>
    <row r="38" spans="1:19" ht="14.25" customHeight="1" x14ac:dyDescent="0.25">
      <c r="A38" s="163" t="s">
        <v>71</v>
      </c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5"/>
    </row>
    <row r="39" spans="1:19" x14ac:dyDescent="0.25">
      <c r="A39" s="40">
        <v>1</v>
      </c>
      <c r="B39" s="6" t="s">
        <v>116</v>
      </c>
      <c r="C39" s="6" t="s">
        <v>9</v>
      </c>
      <c r="D39" s="25">
        <v>12</v>
      </c>
      <c r="E39" s="27">
        <v>126.67</v>
      </c>
      <c r="F39" s="22">
        <f t="shared" ref="F39:F49" si="2">E39*D39</f>
        <v>1520.04</v>
      </c>
      <c r="G39" s="16" t="s">
        <v>18</v>
      </c>
      <c r="H39" s="38">
        <v>3</v>
      </c>
      <c r="I39" s="38"/>
      <c r="J39" s="38">
        <v>3</v>
      </c>
      <c r="K39" s="38"/>
      <c r="L39" s="38">
        <v>3</v>
      </c>
      <c r="M39" s="38"/>
      <c r="N39" s="38">
        <v>3</v>
      </c>
      <c r="O39" s="38"/>
      <c r="P39" s="38"/>
      <c r="Q39" s="38"/>
      <c r="R39" s="38"/>
      <c r="S39" s="39"/>
    </row>
    <row r="40" spans="1:19" x14ac:dyDescent="0.25">
      <c r="A40" s="40">
        <v>2</v>
      </c>
      <c r="B40" s="35" t="s">
        <v>15</v>
      </c>
      <c r="C40" s="35" t="s">
        <v>8</v>
      </c>
      <c r="D40" s="19">
        <v>2</v>
      </c>
      <c r="E40" s="20">
        <v>126.67</v>
      </c>
      <c r="F40" s="22">
        <f t="shared" si="2"/>
        <v>253.34</v>
      </c>
      <c r="G40" s="16" t="s">
        <v>18</v>
      </c>
      <c r="H40" s="38">
        <v>2</v>
      </c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9"/>
    </row>
    <row r="41" spans="1:19" x14ac:dyDescent="0.25">
      <c r="A41" s="40">
        <v>3</v>
      </c>
      <c r="B41" s="35" t="s">
        <v>123</v>
      </c>
      <c r="C41" s="35" t="s">
        <v>8</v>
      </c>
      <c r="D41" s="19">
        <v>14</v>
      </c>
      <c r="E41" s="20">
        <v>19.48</v>
      </c>
      <c r="F41" s="22">
        <f t="shared" si="2"/>
        <v>272.72000000000003</v>
      </c>
      <c r="G41" s="16" t="s">
        <v>18</v>
      </c>
      <c r="H41" s="38">
        <v>14</v>
      </c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9"/>
    </row>
    <row r="42" spans="1:19" x14ac:dyDescent="0.25">
      <c r="A42" s="40">
        <v>4</v>
      </c>
      <c r="B42" s="35" t="s">
        <v>124</v>
      </c>
      <c r="C42" s="35" t="s">
        <v>8</v>
      </c>
      <c r="D42" s="19">
        <v>8</v>
      </c>
      <c r="E42" s="20">
        <v>30.8</v>
      </c>
      <c r="F42" s="22">
        <f t="shared" si="2"/>
        <v>246.4</v>
      </c>
      <c r="G42" s="16" t="s">
        <v>18</v>
      </c>
      <c r="H42" s="38">
        <v>8</v>
      </c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9"/>
    </row>
    <row r="43" spans="1:19" x14ac:dyDescent="0.25">
      <c r="A43" s="40">
        <v>5</v>
      </c>
      <c r="B43" s="35" t="s">
        <v>125</v>
      </c>
      <c r="C43" s="35" t="s">
        <v>16</v>
      </c>
      <c r="D43" s="19">
        <v>12</v>
      </c>
      <c r="E43" s="20">
        <v>54.89</v>
      </c>
      <c r="F43" s="22">
        <f t="shared" si="2"/>
        <v>658.68000000000006</v>
      </c>
      <c r="G43" s="16" t="s">
        <v>18</v>
      </c>
      <c r="H43" s="38">
        <v>12</v>
      </c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9"/>
    </row>
    <row r="44" spans="1:19" x14ac:dyDescent="0.25">
      <c r="A44" s="40">
        <v>6</v>
      </c>
      <c r="B44" s="35" t="s">
        <v>126</v>
      </c>
      <c r="C44" s="35" t="s">
        <v>8</v>
      </c>
      <c r="D44" s="19">
        <v>2</v>
      </c>
      <c r="E44" s="20">
        <v>47.5</v>
      </c>
      <c r="F44" s="22">
        <f t="shared" si="2"/>
        <v>95</v>
      </c>
      <c r="G44" s="16" t="s">
        <v>18</v>
      </c>
      <c r="H44" s="38">
        <v>2</v>
      </c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9"/>
    </row>
    <row r="45" spans="1:19" x14ac:dyDescent="0.25">
      <c r="A45" s="40">
        <v>7</v>
      </c>
      <c r="B45" s="41" t="s">
        <v>127</v>
      </c>
      <c r="C45" s="41" t="s">
        <v>17</v>
      </c>
      <c r="D45" s="30">
        <v>1</v>
      </c>
      <c r="E45" s="18">
        <v>1161.1600000000001</v>
      </c>
      <c r="F45" s="22">
        <f t="shared" si="2"/>
        <v>1161.1600000000001</v>
      </c>
      <c r="G45" s="16" t="s">
        <v>18</v>
      </c>
      <c r="H45" s="30">
        <v>1</v>
      </c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42"/>
    </row>
    <row r="46" spans="1:19" x14ac:dyDescent="0.25">
      <c r="A46" s="40">
        <v>8</v>
      </c>
      <c r="B46" s="35" t="s">
        <v>128</v>
      </c>
      <c r="C46" s="35" t="s">
        <v>13</v>
      </c>
      <c r="D46" s="25">
        <v>7</v>
      </c>
      <c r="E46" s="27">
        <v>63.07</v>
      </c>
      <c r="F46" s="22">
        <f t="shared" si="2"/>
        <v>441.49</v>
      </c>
      <c r="G46" s="16" t="s">
        <v>18</v>
      </c>
      <c r="H46" s="38">
        <v>4</v>
      </c>
      <c r="I46" s="38"/>
      <c r="J46" s="38"/>
      <c r="K46" s="38">
        <v>3</v>
      </c>
      <c r="L46" s="38"/>
      <c r="M46" s="38"/>
      <c r="N46" s="38"/>
      <c r="O46" s="38"/>
      <c r="P46" s="38"/>
      <c r="Q46" s="38"/>
      <c r="R46" s="38"/>
      <c r="S46" s="39"/>
    </row>
    <row r="47" spans="1:19" x14ac:dyDescent="0.25">
      <c r="A47" s="40">
        <v>9</v>
      </c>
      <c r="B47" s="35" t="s">
        <v>129</v>
      </c>
      <c r="C47" s="35" t="s">
        <v>17</v>
      </c>
      <c r="D47" s="19">
        <v>1</v>
      </c>
      <c r="E47" s="24">
        <v>2322.3200000000002</v>
      </c>
      <c r="F47" s="22">
        <f t="shared" si="2"/>
        <v>2322.3200000000002</v>
      </c>
      <c r="G47" s="16" t="s">
        <v>18</v>
      </c>
      <c r="H47" s="38">
        <v>1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9"/>
    </row>
    <row r="48" spans="1:19" x14ac:dyDescent="0.25">
      <c r="A48" s="40">
        <v>10</v>
      </c>
      <c r="B48" s="35" t="s">
        <v>144</v>
      </c>
      <c r="C48" s="35" t="s">
        <v>11</v>
      </c>
      <c r="D48" s="25">
        <v>10</v>
      </c>
      <c r="E48" s="27">
        <v>8.9700000000000006</v>
      </c>
      <c r="F48" s="22">
        <f>E48*D48</f>
        <v>89.7</v>
      </c>
      <c r="G48" s="16" t="s">
        <v>18</v>
      </c>
      <c r="H48" s="38">
        <v>10</v>
      </c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9"/>
    </row>
    <row r="49" spans="1:19" x14ac:dyDescent="0.25">
      <c r="A49" s="40">
        <v>11</v>
      </c>
      <c r="B49" s="35" t="s">
        <v>145</v>
      </c>
      <c r="C49" s="35" t="s">
        <v>11</v>
      </c>
      <c r="D49" s="25">
        <v>10</v>
      </c>
      <c r="E49" s="27">
        <v>19.53</v>
      </c>
      <c r="F49" s="22">
        <f t="shared" si="2"/>
        <v>195.3</v>
      </c>
      <c r="G49" s="16" t="s">
        <v>18</v>
      </c>
      <c r="H49" s="38">
        <v>10</v>
      </c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9"/>
    </row>
    <row r="50" spans="1:19" x14ac:dyDescent="0.25">
      <c r="A50" s="40">
        <v>12</v>
      </c>
      <c r="B50" s="35" t="s">
        <v>146</v>
      </c>
      <c r="C50" s="6" t="s">
        <v>11</v>
      </c>
      <c r="D50" s="25">
        <v>10</v>
      </c>
      <c r="E50" s="22">
        <v>45.38</v>
      </c>
      <c r="F50" s="22">
        <f t="shared" ref="F50:F58" si="3">E50*D50</f>
        <v>453.8</v>
      </c>
      <c r="G50" s="16" t="s">
        <v>18</v>
      </c>
      <c r="H50" s="38">
        <v>10</v>
      </c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9"/>
    </row>
    <row r="51" spans="1:19" x14ac:dyDescent="0.25">
      <c r="A51" s="40">
        <v>13</v>
      </c>
      <c r="B51" s="35" t="s">
        <v>133</v>
      </c>
      <c r="C51" s="35" t="s">
        <v>118</v>
      </c>
      <c r="D51" s="19">
        <v>4</v>
      </c>
      <c r="E51" s="20">
        <v>78.11</v>
      </c>
      <c r="F51" s="22">
        <f t="shared" si="3"/>
        <v>312.44</v>
      </c>
      <c r="G51" s="16" t="s">
        <v>18</v>
      </c>
      <c r="H51" s="38">
        <v>4</v>
      </c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9"/>
    </row>
    <row r="52" spans="1:19" customFormat="1" x14ac:dyDescent="0.25">
      <c r="A52" s="40">
        <v>14</v>
      </c>
      <c r="B52" s="55" t="s">
        <v>97</v>
      </c>
      <c r="C52" s="54" t="s">
        <v>8</v>
      </c>
      <c r="D52" s="60">
        <v>3</v>
      </c>
      <c r="E52" s="61">
        <v>16.64</v>
      </c>
      <c r="F52" s="22">
        <f t="shared" si="3"/>
        <v>49.92</v>
      </c>
      <c r="G52" s="56" t="s">
        <v>18</v>
      </c>
      <c r="H52" s="65">
        <v>3</v>
      </c>
      <c r="I52" s="65"/>
      <c r="J52" s="65"/>
      <c r="K52" s="65"/>
      <c r="L52" s="65"/>
      <c r="M52" s="65"/>
      <c r="N52" s="65"/>
      <c r="O52" s="65"/>
      <c r="P52" s="65"/>
      <c r="Q52" s="65"/>
      <c r="R52" s="66"/>
      <c r="S52" s="67"/>
    </row>
    <row r="53" spans="1:19" x14ac:dyDescent="0.25">
      <c r="A53" s="40">
        <v>15</v>
      </c>
      <c r="B53" s="35" t="s">
        <v>139</v>
      </c>
      <c r="C53" s="6" t="s">
        <v>8</v>
      </c>
      <c r="D53" s="25">
        <v>4</v>
      </c>
      <c r="E53" s="22">
        <v>200.56</v>
      </c>
      <c r="F53" s="22">
        <f t="shared" si="3"/>
        <v>802.24</v>
      </c>
      <c r="G53" s="16" t="s">
        <v>18</v>
      </c>
      <c r="H53" s="38">
        <v>4</v>
      </c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9"/>
    </row>
    <row r="54" spans="1:19" x14ac:dyDescent="0.25">
      <c r="A54" s="40">
        <v>16</v>
      </c>
      <c r="B54" s="35" t="s">
        <v>138</v>
      </c>
      <c r="C54" s="6" t="s">
        <v>10</v>
      </c>
      <c r="D54" s="25">
        <v>4</v>
      </c>
      <c r="E54" s="27">
        <v>28.5</v>
      </c>
      <c r="F54" s="22">
        <f t="shared" si="3"/>
        <v>114</v>
      </c>
      <c r="G54" s="16" t="s">
        <v>18</v>
      </c>
      <c r="H54" s="38">
        <v>4</v>
      </c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9"/>
    </row>
    <row r="55" spans="1:19" x14ac:dyDescent="0.25">
      <c r="A55" s="40">
        <v>17</v>
      </c>
      <c r="B55" s="35" t="s">
        <v>29</v>
      </c>
      <c r="C55" s="6" t="s">
        <v>8</v>
      </c>
      <c r="D55" s="25">
        <v>4</v>
      </c>
      <c r="E55" s="27">
        <v>35.89</v>
      </c>
      <c r="F55" s="22">
        <f t="shared" si="3"/>
        <v>143.56</v>
      </c>
      <c r="G55" s="16" t="s">
        <v>18</v>
      </c>
      <c r="H55" s="38">
        <v>4</v>
      </c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9"/>
    </row>
    <row r="56" spans="1:19" x14ac:dyDescent="0.25">
      <c r="A56" s="40">
        <v>18</v>
      </c>
      <c r="B56" s="35" t="s">
        <v>134</v>
      </c>
      <c r="C56" s="6" t="s">
        <v>12</v>
      </c>
      <c r="D56" s="25">
        <v>6</v>
      </c>
      <c r="E56" s="22">
        <v>37.229999999999997</v>
      </c>
      <c r="F56" s="22">
        <f t="shared" si="3"/>
        <v>223.38</v>
      </c>
      <c r="G56" s="16" t="s">
        <v>18</v>
      </c>
      <c r="H56" s="38">
        <v>6</v>
      </c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9"/>
    </row>
    <row r="57" spans="1:19" customFormat="1" x14ac:dyDescent="0.25">
      <c r="A57" s="40">
        <v>19</v>
      </c>
      <c r="B57" s="55" t="s">
        <v>140</v>
      </c>
      <c r="C57" s="54" t="s">
        <v>8</v>
      </c>
      <c r="D57" s="60">
        <v>4</v>
      </c>
      <c r="E57" s="61">
        <v>40.51</v>
      </c>
      <c r="F57" s="22">
        <f t="shared" si="3"/>
        <v>162.04</v>
      </c>
      <c r="G57" s="16" t="s">
        <v>18</v>
      </c>
      <c r="H57" s="65">
        <v>4</v>
      </c>
      <c r="I57" s="65"/>
      <c r="J57" s="65"/>
      <c r="K57" s="65"/>
      <c r="L57" s="65"/>
      <c r="M57" s="65"/>
      <c r="N57" s="65"/>
      <c r="O57" s="65"/>
      <c r="P57" s="65"/>
      <c r="Q57" s="65"/>
      <c r="R57" s="66"/>
      <c r="S57" s="67"/>
    </row>
    <row r="58" spans="1:19" x14ac:dyDescent="0.25">
      <c r="A58" s="40">
        <v>20</v>
      </c>
      <c r="B58" s="35" t="s">
        <v>143</v>
      </c>
      <c r="C58" s="34" t="s">
        <v>10</v>
      </c>
      <c r="D58" s="25">
        <v>5</v>
      </c>
      <c r="E58" s="22">
        <v>100.88</v>
      </c>
      <c r="F58" s="22">
        <f t="shared" si="3"/>
        <v>504.4</v>
      </c>
      <c r="G58" s="16" t="s">
        <v>18</v>
      </c>
      <c r="H58" s="30">
        <v>3</v>
      </c>
      <c r="I58" s="30"/>
      <c r="J58" s="30"/>
      <c r="K58" s="30">
        <v>2</v>
      </c>
      <c r="L58" s="30"/>
      <c r="M58" s="30"/>
      <c r="N58" s="30"/>
      <c r="O58" s="30"/>
      <c r="P58" s="30"/>
      <c r="Q58" s="30"/>
      <c r="R58" s="30"/>
      <c r="S58" s="42"/>
    </row>
    <row r="59" spans="1:19" customFormat="1" ht="13.8" x14ac:dyDescent="0.25">
      <c r="A59" s="58"/>
      <c r="B59" s="77" t="s">
        <v>94</v>
      </c>
      <c r="C59" s="57"/>
      <c r="D59" s="59"/>
      <c r="E59" s="12"/>
      <c r="F59" s="76">
        <f>SUM(F39:F58)</f>
        <v>10021.929999999998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91"/>
    </row>
    <row r="60" spans="1:19" customFormat="1" ht="16.8" x14ac:dyDescent="0.25">
      <c r="A60" s="172" t="s">
        <v>98</v>
      </c>
      <c r="B60" s="173"/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3"/>
      <c r="R60" s="173"/>
      <c r="S60" s="174"/>
    </row>
    <row r="61" spans="1:19" x14ac:dyDescent="0.25">
      <c r="A61" s="40">
        <v>1</v>
      </c>
      <c r="B61" s="43" t="s">
        <v>24</v>
      </c>
      <c r="C61" s="6" t="s">
        <v>11</v>
      </c>
      <c r="D61" s="26">
        <v>16</v>
      </c>
      <c r="E61" s="23">
        <v>1500</v>
      </c>
      <c r="F61" s="22">
        <f t="shared" ref="F61:F67" si="4">E61*D61</f>
        <v>24000</v>
      </c>
      <c r="G61" s="16" t="s">
        <v>18</v>
      </c>
      <c r="H61" s="102">
        <v>16</v>
      </c>
      <c r="I61" s="102"/>
      <c r="J61" s="102"/>
      <c r="K61" s="102"/>
      <c r="L61" s="102"/>
      <c r="M61" s="102"/>
      <c r="N61" s="37"/>
      <c r="O61" s="38"/>
      <c r="P61" s="38"/>
      <c r="Q61" s="38"/>
      <c r="R61" s="38"/>
      <c r="S61" s="39"/>
    </row>
    <row r="62" spans="1:19" x14ac:dyDescent="0.25">
      <c r="A62" s="40">
        <v>2</v>
      </c>
      <c r="B62" s="43" t="s">
        <v>25</v>
      </c>
      <c r="C62" s="6" t="s">
        <v>11</v>
      </c>
      <c r="D62" s="26">
        <v>16</v>
      </c>
      <c r="E62" s="23">
        <v>1300</v>
      </c>
      <c r="F62" s="22">
        <f t="shared" si="4"/>
        <v>20800</v>
      </c>
      <c r="G62" s="16" t="s">
        <v>18</v>
      </c>
      <c r="H62" s="102">
        <v>16</v>
      </c>
      <c r="I62" s="102"/>
      <c r="J62" s="102"/>
      <c r="K62" s="102"/>
      <c r="L62" s="102"/>
      <c r="M62" s="102"/>
      <c r="N62" s="37"/>
      <c r="O62" s="38"/>
      <c r="P62" s="38"/>
      <c r="Q62" s="38"/>
      <c r="R62" s="38"/>
      <c r="S62" s="39"/>
    </row>
    <row r="63" spans="1:19" x14ac:dyDescent="0.25">
      <c r="A63" s="40">
        <v>3</v>
      </c>
      <c r="B63" s="35" t="s">
        <v>26</v>
      </c>
      <c r="C63" s="6" t="s">
        <v>11</v>
      </c>
      <c r="D63" s="26">
        <v>10</v>
      </c>
      <c r="E63" s="23">
        <v>1100</v>
      </c>
      <c r="F63" s="22">
        <f t="shared" si="4"/>
        <v>11000</v>
      </c>
      <c r="G63" s="16" t="s">
        <v>18</v>
      </c>
      <c r="H63" s="102">
        <v>10</v>
      </c>
      <c r="I63" s="102"/>
      <c r="J63" s="102"/>
      <c r="K63" s="102"/>
      <c r="L63" s="102"/>
      <c r="M63" s="102"/>
      <c r="N63" s="37"/>
      <c r="O63" s="38"/>
      <c r="P63" s="38"/>
      <c r="Q63" s="38"/>
      <c r="R63" s="38"/>
      <c r="S63" s="39"/>
    </row>
    <row r="64" spans="1:19" x14ac:dyDescent="0.25">
      <c r="A64" s="40">
        <v>4</v>
      </c>
      <c r="B64" s="6" t="s">
        <v>20</v>
      </c>
      <c r="C64" s="6" t="s">
        <v>11</v>
      </c>
      <c r="D64" s="26">
        <v>20</v>
      </c>
      <c r="E64" s="22">
        <v>450</v>
      </c>
      <c r="F64" s="22">
        <f t="shared" si="4"/>
        <v>9000</v>
      </c>
      <c r="G64" s="56" t="s">
        <v>18</v>
      </c>
      <c r="H64" s="102">
        <v>20</v>
      </c>
      <c r="I64" s="102"/>
      <c r="J64" s="102"/>
      <c r="K64" s="102"/>
      <c r="L64" s="102"/>
      <c r="M64" s="102"/>
      <c r="N64" s="38"/>
      <c r="O64" s="38"/>
      <c r="P64" s="38"/>
      <c r="Q64" s="38"/>
      <c r="R64" s="38"/>
      <c r="S64" s="39"/>
    </row>
    <row r="65" spans="1:19" x14ac:dyDescent="0.25">
      <c r="A65" s="40">
        <v>5</v>
      </c>
      <c r="B65" s="6" t="s">
        <v>22</v>
      </c>
      <c r="C65" s="6" t="s">
        <v>11</v>
      </c>
      <c r="D65" s="26">
        <v>20</v>
      </c>
      <c r="E65" s="22">
        <v>450</v>
      </c>
      <c r="F65" s="22">
        <f t="shared" si="4"/>
        <v>9000</v>
      </c>
      <c r="G65" s="56" t="s">
        <v>18</v>
      </c>
      <c r="H65" s="102">
        <v>20</v>
      </c>
      <c r="I65" s="102"/>
      <c r="J65" s="102"/>
      <c r="K65" s="102"/>
      <c r="L65" s="102"/>
      <c r="M65" s="102"/>
      <c r="N65" s="38"/>
      <c r="O65" s="38"/>
      <c r="P65" s="38"/>
      <c r="Q65" s="38"/>
      <c r="R65" s="38"/>
      <c r="S65" s="39"/>
    </row>
    <row r="66" spans="1:19" x14ac:dyDescent="0.25">
      <c r="A66" s="40">
        <v>6</v>
      </c>
      <c r="B66" s="6" t="s">
        <v>23</v>
      </c>
      <c r="C66" s="6" t="s">
        <v>11</v>
      </c>
      <c r="D66" s="26">
        <v>20</v>
      </c>
      <c r="E66" s="22">
        <v>450</v>
      </c>
      <c r="F66" s="22">
        <f t="shared" si="4"/>
        <v>9000</v>
      </c>
      <c r="G66" s="56" t="s">
        <v>18</v>
      </c>
      <c r="H66" s="102">
        <v>20</v>
      </c>
      <c r="I66" s="102"/>
      <c r="J66" s="102"/>
      <c r="K66" s="102"/>
      <c r="L66" s="102"/>
      <c r="M66" s="102"/>
      <c r="N66" s="38"/>
      <c r="O66" s="38"/>
      <c r="P66" s="38"/>
      <c r="Q66" s="38"/>
      <c r="R66" s="38"/>
      <c r="S66" s="39"/>
    </row>
    <row r="67" spans="1:19" ht="16.5" customHeight="1" x14ac:dyDescent="0.25">
      <c r="A67" s="40">
        <v>7</v>
      </c>
      <c r="B67" s="6" t="s">
        <v>21</v>
      </c>
      <c r="C67" s="6" t="s">
        <v>11</v>
      </c>
      <c r="D67" s="26">
        <v>20</v>
      </c>
      <c r="E67" s="22">
        <v>450</v>
      </c>
      <c r="F67" s="22">
        <f t="shared" si="4"/>
        <v>9000</v>
      </c>
      <c r="G67" s="56" t="s">
        <v>18</v>
      </c>
      <c r="H67" s="102">
        <v>20</v>
      </c>
      <c r="I67" s="102"/>
      <c r="J67" s="102"/>
      <c r="K67" s="102"/>
      <c r="L67" s="102"/>
      <c r="M67" s="102"/>
      <c r="N67" s="38"/>
      <c r="O67" s="38"/>
      <c r="P67" s="38"/>
      <c r="Q67" s="38"/>
      <c r="R67" s="38"/>
      <c r="S67" s="39"/>
    </row>
    <row r="68" spans="1:19" x14ac:dyDescent="0.25">
      <c r="A68" s="40">
        <v>8</v>
      </c>
      <c r="B68" s="6" t="s">
        <v>102</v>
      </c>
      <c r="C68" s="6" t="s">
        <v>14</v>
      </c>
      <c r="D68" s="25">
        <v>10</v>
      </c>
      <c r="E68" s="22">
        <v>60</v>
      </c>
      <c r="F68" s="22">
        <f t="shared" ref="F68:F75" si="5">E68*D68</f>
        <v>600</v>
      </c>
      <c r="G68" s="56" t="s">
        <v>18</v>
      </c>
      <c r="H68" s="102">
        <v>10</v>
      </c>
      <c r="I68" s="102"/>
      <c r="J68" s="102"/>
      <c r="K68" s="102"/>
      <c r="L68" s="102"/>
      <c r="M68" s="102"/>
      <c r="N68" s="38"/>
      <c r="O68" s="38"/>
      <c r="P68" s="38"/>
      <c r="Q68" s="38"/>
      <c r="R68" s="38"/>
      <c r="S68" s="39"/>
    </row>
    <row r="69" spans="1:19" x14ac:dyDescent="0.25">
      <c r="A69" s="40">
        <v>9</v>
      </c>
      <c r="B69" s="6" t="s">
        <v>103</v>
      </c>
      <c r="C69" s="6" t="s">
        <v>14</v>
      </c>
      <c r="D69" s="25">
        <v>10</v>
      </c>
      <c r="E69" s="22">
        <v>80</v>
      </c>
      <c r="F69" s="22">
        <f t="shared" si="5"/>
        <v>800</v>
      </c>
      <c r="G69" s="56" t="s">
        <v>18</v>
      </c>
      <c r="H69" s="102">
        <v>10</v>
      </c>
      <c r="I69" s="102"/>
      <c r="J69" s="102"/>
      <c r="K69" s="102"/>
      <c r="L69" s="102"/>
      <c r="M69" s="102"/>
      <c r="N69" s="38"/>
      <c r="O69" s="38"/>
      <c r="P69" s="38"/>
      <c r="Q69" s="38"/>
      <c r="R69" s="38"/>
      <c r="S69" s="39"/>
    </row>
    <row r="70" spans="1:19" x14ac:dyDescent="0.25">
      <c r="A70" s="40">
        <v>10</v>
      </c>
      <c r="B70" s="41" t="s">
        <v>87</v>
      </c>
      <c r="C70" s="41" t="s">
        <v>8</v>
      </c>
      <c r="D70" s="30">
        <v>2</v>
      </c>
      <c r="E70" s="18">
        <v>700</v>
      </c>
      <c r="F70" s="22">
        <f t="shared" si="5"/>
        <v>1400</v>
      </c>
      <c r="G70" s="56" t="s">
        <v>18</v>
      </c>
      <c r="H70" s="103">
        <v>2</v>
      </c>
      <c r="I70" s="103"/>
      <c r="J70" s="103"/>
      <c r="K70" s="103"/>
      <c r="L70" s="103"/>
      <c r="M70" s="103"/>
      <c r="N70" s="30"/>
      <c r="O70" s="30"/>
      <c r="P70" s="30"/>
      <c r="Q70" s="30"/>
      <c r="R70" s="30"/>
      <c r="S70" s="42"/>
    </row>
    <row r="71" spans="1:19" x14ac:dyDescent="0.25">
      <c r="A71" s="40">
        <v>11</v>
      </c>
      <c r="B71" s="41" t="s">
        <v>54</v>
      </c>
      <c r="C71" s="41" t="s">
        <v>8</v>
      </c>
      <c r="D71" s="30">
        <v>2</v>
      </c>
      <c r="E71" s="18">
        <v>100</v>
      </c>
      <c r="F71" s="22">
        <f t="shared" si="5"/>
        <v>200</v>
      </c>
      <c r="G71" s="16" t="s">
        <v>18</v>
      </c>
      <c r="H71" s="103">
        <v>2</v>
      </c>
      <c r="I71" s="103"/>
      <c r="J71" s="103"/>
      <c r="K71" s="103"/>
      <c r="L71" s="103"/>
      <c r="M71" s="103"/>
      <c r="N71" s="30"/>
      <c r="O71" s="30"/>
      <c r="P71" s="30"/>
      <c r="Q71" s="30"/>
      <c r="R71" s="30"/>
      <c r="S71" s="42"/>
    </row>
    <row r="72" spans="1:19" ht="12" customHeight="1" x14ac:dyDescent="0.25">
      <c r="A72" s="40">
        <v>12</v>
      </c>
      <c r="B72" s="35" t="s">
        <v>149</v>
      </c>
      <c r="C72" s="35" t="s">
        <v>8</v>
      </c>
      <c r="D72" s="25">
        <v>20</v>
      </c>
      <c r="E72" s="27">
        <v>60</v>
      </c>
      <c r="F72" s="22">
        <f t="shared" si="5"/>
        <v>1200</v>
      </c>
      <c r="G72" s="16" t="s">
        <v>18</v>
      </c>
      <c r="H72" s="38">
        <v>20</v>
      </c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9"/>
    </row>
    <row r="73" spans="1:19" ht="16.5" customHeight="1" x14ac:dyDescent="0.25">
      <c r="A73" s="40">
        <v>13</v>
      </c>
      <c r="B73" s="41" t="s">
        <v>104</v>
      </c>
      <c r="C73" s="41" t="s">
        <v>8</v>
      </c>
      <c r="D73" s="30">
        <v>2</v>
      </c>
      <c r="E73" s="18">
        <v>500</v>
      </c>
      <c r="F73" s="22">
        <f t="shared" si="5"/>
        <v>1000</v>
      </c>
      <c r="G73" s="56" t="s">
        <v>18</v>
      </c>
      <c r="H73" s="103">
        <v>2</v>
      </c>
      <c r="I73" s="103"/>
      <c r="J73" s="103"/>
      <c r="K73" s="103"/>
      <c r="L73" s="103"/>
      <c r="M73" s="103"/>
      <c r="N73" s="30"/>
      <c r="O73" s="30"/>
      <c r="P73" s="30"/>
      <c r="Q73" s="30"/>
      <c r="R73" s="30"/>
      <c r="S73" s="42"/>
    </row>
    <row r="74" spans="1:19" customFormat="1" x14ac:dyDescent="0.25">
      <c r="A74" s="40">
        <v>14</v>
      </c>
      <c r="B74" s="55" t="s">
        <v>88</v>
      </c>
      <c r="C74" s="54" t="s">
        <v>11</v>
      </c>
      <c r="D74" s="60">
        <v>30</v>
      </c>
      <c r="E74" s="61">
        <v>100</v>
      </c>
      <c r="F74" s="22">
        <f t="shared" si="5"/>
        <v>3000</v>
      </c>
      <c r="G74" s="56" t="s">
        <v>18</v>
      </c>
      <c r="H74" s="104">
        <v>30</v>
      </c>
      <c r="I74" s="104"/>
      <c r="J74" s="104"/>
      <c r="K74" s="104"/>
      <c r="L74" s="104"/>
      <c r="M74" s="104"/>
      <c r="N74" s="65"/>
      <c r="O74" s="65"/>
      <c r="P74" s="65"/>
      <c r="Q74" s="65"/>
      <c r="R74" s="66"/>
      <c r="S74" s="67"/>
    </row>
    <row r="75" spans="1:19" x14ac:dyDescent="0.25">
      <c r="A75" s="40">
        <v>15</v>
      </c>
      <c r="B75" s="6" t="s">
        <v>107</v>
      </c>
      <c r="C75" s="6" t="s">
        <v>89</v>
      </c>
      <c r="D75" s="25">
        <v>2</v>
      </c>
      <c r="E75" s="28">
        <v>800</v>
      </c>
      <c r="F75" s="22">
        <f t="shared" si="5"/>
        <v>1600</v>
      </c>
      <c r="G75" s="16" t="s">
        <v>18</v>
      </c>
      <c r="H75" s="102">
        <v>2</v>
      </c>
      <c r="I75" s="102"/>
      <c r="J75" s="102"/>
      <c r="K75" s="102"/>
      <c r="L75" s="102"/>
      <c r="M75" s="102"/>
      <c r="N75" s="38"/>
      <c r="O75" s="38"/>
      <c r="P75" s="38"/>
      <c r="Q75" s="38"/>
      <c r="R75" s="38"/>
      <c r="S75" s="39"/>
    </row>
    <row r="76" spans="1:19" customFormat="1" x14ac:dyDescent="0.25">
      <c r="A76" s="40">
        <v>16</v>
      </c>
      <c r="B76" s="54" t="s">
        <v>114</v>
      </c>
      <c r="C76" s="54" t="s">
        <v>65</v>
      </c>
      <c r="D76" s="60">
        <v>6</v>
      </c>
      <c r="E76" s="61">
        <v>180</v>
      </c>
      <c r="F76" s="53">
        <f>D76*E76</f>
        <v>1080</v>
      </c>
      <c r="G76" s="56" t="s">
        <v>18</v>
      </c>
      <c r="H76" s="104">
        <v>6</v>
      </c>
      <c r="I76" s="104"/>
      <c r="J76" s="104"/>
      <c r="K76" s="104"/>
      <c r="L76" s="104"/>
      <c r="M76" s="104"/>
      <c r="N76" s="82"/>
      <c r="O76" s="82"/>
      <c r="P76" s="82"/>
      <c r="Q76" s="82"/>
      <c r="R76" s="83"/>
      <c r="S76" s="84"/>
    </row>
    <row r="77" spans="1:19" customFormat="1" ht="26.4" x14ac:dyDescent="0.25">
      <c r="A77" s="40">
        <v>17</v>
      </c>
      <c r="B77" s="85" t="s">
        <v>95</v>
      </c>
      <c r="C77" s="78" t="s">
        <v>96</v>
      </c>
      <c r="D77" s="79">
        <v>4</v>
      </c>
      <c r="E77" s="86">
        <v>50</v>
      </c>
      <c r="F77" s="22">
        <f>E77*D77</f>
        <v>200</v>
      </c>
      <c r="G77" s="142" t="s">
        <v>18</v>
      </c>
      <c r="H77" s="105">
        <v>4</v>
      </c>
      <c r="I77" s="105"/>
      <c r="J77" s="105"/>
      <c r="K77" s="105"/>
      <c r="L77" s="105"/>
      <c r="M77" s="105"/>
      <c r="N77" s="87"/>
      <c r="O77" s="87"/>
      <c r="P77" s="87"/>
      <c r="Q77" s="87"/>
      <c r="R77" s="88"/>
      <c r="S77" s="89"/>
    </row>
    <row r="78" spans="1:19" x14ac:dyDescent="0.25">
      <c r="A78" s="40">
        <v>18</v>
      </c>
      <c r="B78" s="36" t="s">
        <v>105</v>
      </c>
      <c r="C78" s="36" t="s">
        <v>8</v>
      </c>
      <c r="D78" s="37">
        <v>1</v>
      </c>
      <c r="E78" s="44">
        <v>1300</v>
      </c>
      <c r="F78" s="22">
        <f t="shared" ref="F78:F84" si="6">E78*D78</f>
        <v>1300</v>
      </c>
      <c r="G78" s="16" t="s">
        <v>18</v>
      </c>
      <c r="H78" s="37">
        <v>1</v>
      </c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45"/>
    </row>
    <row r="79" spans="1:19" customFormat="1" x14ac:dyDescent="0.25">
      <c r="A79" s="40">
        <v>19</v>
      </c>
      <c r="B79" s="63" t="s">
        <v>106</v>
      </c>
      <c r="C79" s="62" t="s">
        <v>89</v>
      </c>
      <c r="D79" s="64">
        <v>2</v>
      </c>
      <c r="E79" s="64">
        <v>595</v>
      </c>
      <c r="F79" s="22">
        <f t="shared" si="6"/>
        <v>1190</v>
      </c>
      <c r="G79" s="16" t="s">
        <v>18</v>
      </c>
      <c r="H79" s="64">
        <v>2</v>
      </c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90"/>
    </row>
    <row r="80" spans="1:19" customFormat="1" x14ac:dyDescent="0.25">
      <c r="A80" s="40">
        <v>20</v>
      </c>
      <c r="B80" s="63" t="s">
        <v>108</v>
      </c>
      <c r="C80" s="62" t="s">
        <v>89</v>
      </c>
      <c r="D80" s="64">
        <v>2</v>
      </c>
      <c r="E80" s="64">
        <v>595</v>
      </c>
      <c r="F80" s="22">
        <f t="shared" si="6"/>
        <v>1190</v>
      </c>
      <c r="G80" s="16" t="s">
        <v>18</v>
      </c>
      <c r="H80" s="64">
        <v>2</v>
      </c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90"/>
    </row>
    <row r="81" spans="1:19" x14ac:dyDescent="0.25">
      <c r="A81" s="40">
        <v>21</v>
      </c>
      <c r="B81" s="35" t="s">
        <v>110</v>
      </c>
      <c r="C81" s="35" t="s">
        <v>64</v>
      </c>
      <c r="D81" s="19">
        <v>30</v>
      </c>
      <c r="E81" s="20">
        <v>70</v>
      </c>
      <c r="F81" s="22">
        <f t="shared" si="6"/>
        <v>2100</v>
      </c>
      <c r="G81" s="16" t="s">
        <v>18</v>
      </c>
      <c r="H81" s="38">
        <v>30</v>
      </c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9"/>
    </row>
    <row r="82" spans="1:19" x14ac:dyDescent="0.25">
      <c r="A82" s="40">
        <v>22</v>
      </c>
      <c r="B82" s="35" t="s">
        <v>150</v>
      </c>
      <c r="C82" s="35" t="s">
        <v>8</v>
      </c>
      <c r="D82" s="19">
        <v>4</v>
      </c>
      <c r="E82" s="20">
        <v>120</v>
      </c>
      <c r="F82" s="22">
        <f t="shared" si="6"/>
        <v>480</v>
      </c>
      <c r="G82" s="16" t="s">
        <v>18</v>
      </c>
      <c r="H82" s="38">
        <v>4</v>
      </c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9"/>
    </row>
    <row r="83" spans="1:19" x14ac:dyDescent="0.25">
      <c r="A83" s="40">
        <v>23</v>
      </c>
      <c r="B83" s="35" t="s">
        <v>183</v>
      </c>
      <c r="C83" s="35" t="s">
        <v>8</v>
      </c>
      <c r="D83" s="19">
        <v>4</v>
      </c>
      <c r="E83" s="20">
        <v>120</v>
      </c>
      <c r="F83" s="22">
        <f t="shared" si="6"/>
        <v>480</v>
      </c>
      <c r="G83" s="16" t="s">
        <v>18</v>
      </c>
      <c r="H83" s="38">
        <v>4</v>
      </c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9"/>
    </row>
    <row r="84" spans="1:19" x14ac:dyDescent="0.25">
      <c r="A84" s="40">
        <v>24</v>
      </c>
      <c r="B84" s="6" t="s">
        <v>55</v>
      </c>
      <c r="C84" s="6" t="s">
        <v>8</v>
      </c>
      <c r="D84" s="25">
        <v>2</v>
      </c>
      <c r="E84" s="27">
        <v>850</v>
      </c>
      <c r="F84" s="22">
        <f t="shared" si="6"/>
        <v>1700</v>
      </c>
      <c r="G84" s="16" t="s">
        <v>18</v>
      </c>
      <c r="H84" s="38">
        <v>2</v>
      </c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9"/>
    </row>
    <row r="85" spans="1:19" x14ac:dyDescent="0.25">
      <c r="A85" s="40">
        <v>25</v>
      </c>
      <c r="B85" s="6" t="s">
        <v>27</v>
      </c>
      <c r="C85" s="34" t="s">
        <v>11</v>
      </c>
      <c r="D85" s="25">
        <v>1</v>
      </c>
      <c r="E85" s="22">
        <v>1100</v>
      </c>
      <c r="F85" s="22">
        <f>E85*D85</f>
        <v>1100</v>
      </c>
      <c r="G85" s="56" t="s">
        <v>18</v>
      </c>
      <c r="H85" s="30">
        <v>1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42"/>
    </row>
    <row r="86" spans="1:19" x14ac:dyDescent="0.25">
      <c r="A86" s="40">
        <v>26</v>
      </c>
      <c r="B86" s="6" t="s">
        <v>112</v>
      </c>
      <c r="C86" s="6" t="s">
        <v>89</v>
      </c>
      <c r="D86" s="25">
        <v>6</v>
      </c>
      <c r="E86" s="27">
        <v>155</v>
      </c>
      <c r="F86" s="22">
        <f>E86*D86</f>
        <v>930</v>
      </c>
      <c r="G86" s="56" t="s">
        <v>18</v>
      </c>
      <c r="H86" s="38">
        <v>6</v>
      </c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9"/>
    </row>
    <row r="87" spans="1:19" x14ac:dyDescent="0.25">
      <c r="A87" s="40">
        <v>27</v>
      </c>
      <c r="B87" s="6" t="s">
        <v>111</v>
      </c>
      <c r="C87" s="6" t="s">
        <v>89</v>
      </c>
      <c r="D87" s="25">
        <v>6</v>
      </c>
      <c r="E87" s="27">
        <v>170</v>
      </c>
      <c r="F87" s="22">
        <f>E87*D87</f>
        <v>1020</v>
      </c>
      <c r="G87" s="56" t="s">
        <v>18</v>
      </c>
      <c r="H87" s="38">
        <v>6</v>
      </c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9"/>
    </row>
    <row r="88" spans="1:19" x14ac:dyDescent="0.25">
      <c r="A88" s="40">
        <v>28</v>
      </c>
      <c r="B88" s="6" t="s">
        <v>113</v>
      </c>
      <c r="C88" s="6" t="s">
        <v>89</v>
      </c>
      <c r="D88" s="25">
        <v>6</v>
      </c>
      <c r="E88" s="27">
        <v>190</v>
      </c>
      <c r="F88" s="22">
        <f>E88*D88</f>
        <v>1140</v>
      </c>
      <c r="G88" s="56" t="s">
        <v>18</v>
      </c>
      <c r="H88" s="38">
        <v>6</v>
      </c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9"/>
    </row>
    <row r="89" spans="1:19" customFormat="1" ht="13.8" x14ac:dyDescent="0.25">
      <c r="A89" s="58"/>
      <c r="B89" s="77" t="s">
        <v>94</v>
      </c>
      <c r="C89" s="57"/>
      <c r="D89" s="59"/>
      <c r="E89" s="12"/>
      <c r="F89" s="76">
        <f>SUM(F61:F88)</f>
        <v>115510</v>
      </c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91"/>
    </row>
    <row r="90" spans="1:19" ht="18.75" customHeight="1" thickBot="1" x14ac:dyDescent="0.3">
      <c r="A90" s="177" t="s">
        <v>46</v>
      </c>
      <c r="B90" s="178"/>
      <c r="C90" s="178"/>
      <c r="D90" s="178"/>
      <c r="E90" s="178"/>
      <c r="F90" s="92">
        <f>SUM(F13,F26,F37,F59,F89)</f>
        <v>141927.35</v>
      </c>
      <c r="G90" s="175"/>
      <c r="H90" s="175"/>
      <c r="I90" s="175"/>
      <c r="J90" s="175"/>
      <c r="K90" s="175"/>
      <c r="L90" s="175"/>
      <c r="M90" s="175"/>
      <c r="N90" s="175"/>
      <c r="O90" s="175"/>
      <c r="P90" s="175"/>
      <c r="Q90" s="175"/>
      <c r="R90" s="175"/>
      <c r="S90" s="176"/>
    </row>
    <row r="91" spans="1:19" s="11" customFormat="1" ht="12.75" customHeight="1" x14ac:dyDescent="0.25">
      <c r="A91" s="182" t="s">
        <v>47</v>
      </c>
      <c r="B91" s="182"/>
      <c r="C91" s="182"/>
      <c r="D91" s="182"/>
      <c r="E91" s="182"/>
      <c r="F91" s="182"/>
      <c r="G91" s="182"/>
      <c r="H91" s="182"/>
      <c r="I91" s="182"/>
      <c r="J91" s="182"/>
      <c r="K91" s="182"/>
      <c r="L91" s="182"/>
      <c r="M91" s="182"/>
      <c r="N91" s="182"/>
      <c r="O91" s="182"/>
      <c r="P91" s="182"/>
      <c r="Q91" s="182"/>
      <c r="R91" s="182"/>
      <c r="S91" s="182"/>
    </row>
    <row r="92" spans="1:19" ht="12.75" customHeight="1" x14ac:dyDescent="0.25">
      <c r="A92" s="183" t="s">
        <v>48</v>
      </c>
      <c r="B92" s="183"/>
      <c r="C92" s="183" t="s">
        <v>49</v>
      </c>
      <c r="D92" s="183"/>
      <c r="E92" s="183"/>
      <c r="F92" s="183"/>
      <c r="G92" s="183"/>
      <c r="H92" s="183"/>
      <c r="I92" s="183"/>
      <c r="J92" s="183"/>
      <c r="K92" s="183"/>
      <c r="L92" s="183" t="s">
        <v>50</v>
      </c>
      <c r="M92" s="183"/>
      <c r="N92" s="183"/>
      <c r="O92" s="183"/>
      <c r="P92" s="183"/>
      <c r="Q92" s="183"/>
      <c r="R92" s="183"/>
      <c r="S92" s="183"/>
    </row>
    <row r="93" spans="1:19" ht="12.75" customHeight="1" x14ac:dyDescent="0.25">
      <c r="A93" s="183"/>
      <c r="B93" s="183"/>
      <c r="C93" s="183"/>
      <c r="D93" s="183"/>
      <c r="E93" s="183"/>
      <c r="F93" s="183"/>
      <c r="G93" s="183"/>
      <c r="H93" s="183"/>
      <c r="I93" s="183"/>
      <c r="J93" s="183"/>
      <c r="K93" s="183"/>
      <c r="L93" s="183"/>
      <c r="M93" s="183"/>
      <c r="N93" s="183"/>
      <c r="O93" s="183"/>
      <c r="P93" s="183"/>
      <c r="Q93" s="183"/>
      <c r="R93" s="183"/>
      <c r="S93" s="183"/>
    </row>
    <row r="94" spans="1:19" ht="15" x14ac:dyDescent="0.25">
      <c r="A94" s="1"/>
      <c r="B94" s="1"/>
      <c r="C94" s="1"/>
      <c r="D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1:19" ht="13.8" x14ac:dyDescent="0.25">
      <c r="A95" s="2"/>
      <c r="C95" s="181"/>
      <c r="D95" s="181"/>
      <c r="G95" s="12"/>
      <c r="H95" s="12"/>
      <c r="I95" s="12"/>
      <c r="J95" s="12"/>
      <c r="K95" s="12"/>
      <c r="L95" s="12"/>
      <c r="M95" s="12"/>
      <c r="R95" s="4"/>
      <c r="S95" s="12"/>
    </row>
    <row r="96" spans="1:19" ht="14.25" customHeight="1" x14ac:dyDescent="0.25">
      <c r="G96" s="3"/>
    </row>
    <row r="97" spans="2:18" x14ac:dyDescent="0.25">
      <c r="B97" s="5" t="s">
        <v>56</v>
      </c>
      <c r="E97" s="180" t="s">
        <v>148</v>
      </c>
      <c r="F97" s="180"/>
      <c r="M97" s="184" t="s">
        <v>19</v>
      </c>
      <c r="N97" s="184"/>
      <c r="O97" s="184"/>
      <c r="P97" s="184"/>
      <c r="Q97" s="184"/>
      <c r="R97" s="184"/>
    </row>
    <row r="98" spans="2:18" x14ac:dyDescent="0.25">
      <c r="B98" s="13" t="s">
        <v>28</v>
      </c>
      <c r="E98" s="179" t="s">
        <v>101</v>
      </c>
      <c r="F98" s="180"/>
      <c r="N98" s="179" t="s">
        <v>3</v>
      </c>
      <c r="O98" s="179"/>
      <c r="P98" s="179"/>
      <c r="Q98" s="179"/>
    </row>
    <row r="99" spans="2:18" ht="16.5" customHeight="1" x14ac:dyDescent="0.25"/>
    <row r="100" spans="2:18" ht="16.5" customHeight="1" x14ac:dyDescent="0.25"/>
    <row r="110" spans="2:18" ht="21" customHeight="1" x14ac:dyDescent="0.25"/>
    <row r="111" spans="2:18" ht="15" customHeight="1" x14ac:dyDescent="0.25"/>
    <row r="117" ht="14.25" customHeight="1" x14ac:dyDescent="0.25"/>
  </sheetData>
  <mergeCells count="30">
    <mergeCell ref="A10:S10"/>
    <mergeCell ref="A11:S11"/>
    <mergeCell ref="G7:G8"/>
    <mergeCell ref="H7:S7"/>
    <mergeCell ref="A9:S9"/>
    <mergeCell ref="A7:A8"/>
    <mergeCell ref="B7:B8"/>
    <mergeCell ref="C7:C8"/>
    <mergeCell ref="E7:E8"/>
    <mergeCell ref="F7:F8"/>
    <mergeCell ref="A2:S2"/>
    <mergeCell ref="A3:S3"/>
    <mergeCell ref="A4:S4"/>
    <mergeCell ref="A6:S6"/>
    <mergeCell ref="A1:S1"/>
    <mergeCell ref="E98:F98"/>
    <mergeCell ref="N98:Q98"/>
    <mergeCell ref="C95:D95"/>
    <mergeCell ref="A91:S91"/>
    <mergeCell ref="E97:F97"/>
    <mergeCell ref="A92:B93"/>
    <mergeCell ref="C92:K93"/>
    <mergeCell ref="L92:S93"/>
    <mergeCell ref="M97:R97"/>
    <mergeCell ref="A38:S38"/>
    <mergeCell ref="A27:S27"/>
    <mergeCell ref="A14:S14"/>
    <mergeCell ref="A60:S60"/>
    <mergeCell ref="G90:S90"/>
    <mergeCell ref="A90:E90"/>
  </mergeCells>
  <pageMargins left="0.25" right="0.25" top="0.75" bottom="0.75" header="0.3" footer="0.3"/>
  <pageSetup paperSize="14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36"/>
  <sheetViews>
    <sheetView topLeftCell="A3" workbookViewId="0">
      <selection activeCell="A23" sqref="A23:B24"/>
    </sheetView>
  </sheetViews>
  <sheetFormatPr defaultColWidth="9.33203125" defaultRowHeight="13.2" x14ac:dyDescent="0.25"/>
  <cols>
    <col min="1" max="1" width="5.44140625" customWidth="1"/>
    <col min="2" max="2" width="44.77734375" bestFit="1" customWidth="1"/>
    <col min="3" max="3" width="18.44140625" bestFit="1" customWidth="1"/>
    <col min="4" max="4" width="5.6640625" customWidth="1"/>
    <col min="5" max="5" width="11.77734375" bestFit="1" customWidth="1"/>
    <col min="6" max="6" width="22" bestFit="1" customWidth="1"/>
    <col min="7" max="7" width="24" bestFit="1" customWidth="1"/>
    <col min="8" max="8" width="5.77734375" customWidth="1"/>
    <col min="9" max="9" width="6" customWidth="1"/>
    <col min="10" max="10" width="6.33203125" customWidth="1"/>
    <col min="11" max="11" width="5.77734375" customWidth="1"/>
    <col min="12" max="12" width="6.6640625" customWidth="1"/>
    <col min="13" max="13" width="5.77734375" customWidth="1"/>
    <col min="14" max="14" width="6.6640625" customWidth="1"/>
    <col min="15" max="16" width="6.109375" customWidth="1"/>
    <col min="17" max="17" width="5.77734375" customWidth="1"/>
    <col min="18" max="18" width="6.44140625" customWidth="1"/>
    <col min="19" max="19" width="6.109375" customWidth="1"/>
  </cols>
  <sheetData>
    <row r="1" spans="1:19" x14ac:dyDescent="0.25">
      <c r="A1" s="189" t="s">
        <v>72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1:19" ht="20.399999999999999" x14ac:dyDescent="0.25">
      <c r="A2" s="185" t="s">
        <v>162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9" ht="14.4" x14ac:dyDescent="0.25">
      <c r="A3" s="186" t="s">
        <v>0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1:19" ht="13.8" x14ac:dyDescent="0.25">
      <c r="A4" s="187" t="s">
        <v>4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</row>
    <row r="5" spans="1:19" ht="13.8" x14ac:dyDescent="0.25">
      <c r="A5" s="50"/>
      <c r="B5" s="50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1:19" ht="13.8" x14ac:dyDescent="0.25">
      <c r="A6" s="210" t="s">
        <v>52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</row>
    <row r="7" spans="1:19" ht="13.8" thickBot="1" x14ac:dyDescent="0.3"/>
    <row r="8" spans="1:19" ht="15" x14ac:dyDescent="0.25">
      <c r="A8" s="204" t="s">
        <v>6</v>
      </c>
      <c r="B8" s="206" t="s">
        <v>31</v>
      </c>
      <c r="C8" s="208" t="s">
        <v>30</v>
      </c>
      <c r="D8" s="52" t="s">
        <v>32</v>
      </c>
      <c r="E8" s="208" t="s">
        <v>33</v>
      </c>
      <c r="F8" s="208" t="s">
        <v>53</v>
      </c>
      <c r="G8" s="196" t="s">
        <v>34</v>
      </c>
      <c r="H8" s="198" t="s">
        <v>1</v>
      </c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200"/>
    </row>
    <row r="9" spans="1:19" ht="13.8" x14ac:dyDescent="0.25">
      <c r="A9" s="205"/>
      <c r="B9" s="207"/>
      <c r="C9" s="209"/>
      <c r="D9" s="14" t="s">
        <v>35</v>
      </c>
      <c r="E9" s="209"/>
      <c r="F9" s="209"/>
      <c r="G9" s="197"/>
      <c r="H9" s="15" t="s">
        <v>36</v>
      </c>
      <c r="I9" s="15" t="s">
        <v>37</v>
      </c>
      <c r="J9" s="15" t="s">
        <v>38</v>
      </c>
      <c r="K9" s="15" t="s">
        <v>39</v>
      </c>
      <c r="L9" s="15" t="s">
        <v>40</v>
      </c>
      <c r="M9" s="15" t="s">
        <v>41</v>
      </c>
      <c r="N9" s="15" t="s">
        <v>42</v>
      </c>
      <c r="O9" s="15" t="s">
        <v>43</v>
      </c>
      <c r="P9" s="15" t="s">
        <v>44</v>
      </c>
      <c r="Q9" s="15" t="s">
        <v>45</v>
      </c>
      <c r="R9" s="15" t="s">
        <v>2</v>
      </c>
      <c r="S9" s="17" t="s">
        <v>7</v>
      </c>
    </row>
    <row r="10" spans="1:19" ht="13.8" x14ac:dyDescent="0.25">
      <c r="A10" s="211" t="s">
        <v>190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3"/>
    </row>
    <row r="11" spans="1:19" x14ac:dyDescent="0.25">
      <c r="A11" s="40">
        <v>1</v>
      </c>
      <c r="B11" s="21" t="s">
        <v>187</v>
      </c>
      <c r="C11" s="35" t="s">
        <v>8</v>
      </c>
      <c r="D11" s="19">
        <v>1</v>
      </c>
      <c r="E11" s="29">
        <v>1900</v>
      </c>
      <c r="F11" s="22">
        <f>E11*D11</f>
        <v>1900</v>
      </c>
      <c r="G11" s="16" t="s">
        <v>18</v>
      </c>
      <c r="H11" s="31"/>
      <c r="I11" s="31">
        <v>1</v>
      </c>
      <c r="J11" s="31"/>
      <c r="K11" s="31"/>
      <c r="L11" s="31"/>
      <c r="M11" s="31"/>
      <c r="N11" s="31"/>
      <c r="O11" s="31"/>
      <c r="P11" s="31"/>
      <c r="Q11" s="31"/>
      <c r="R11" s="31"/>
      <c r="S11" s="32"/>
    </row>
    <row r="12" spans="1:19" x14ac:dyDescent="0.25">
      <c r="A12" s="40">
        <v>2</v>
      </c>
      <c r="B12" s="21" t="s">
        <v>188</v>
      </c>
      <c r="C12" s="35" t="s">
        <v>8</v>
      </c>
      <c r="D12" s="19">
        <v>1</v>
      </c>
      <c r="E12" s="29">
        <v>21000</v>
      </c>
      <c r="F12" s="22">
        <f>E12*D12</f>
        <v>21000</v>
      </c>
      <c r="G12" s="16" t="s">
        <v>18</v>
      </c>
      <c r="H12" s="31"/>
      <c r="I12" s="31">
        <v>1</v>
      </c>
      <c r="J12" s="31"/>
      <c r="K12" s="31"/>
      <c r="L12" s="31"/>
      <c r="M12" s="31"/>
      <c r="N12" s="31"/>
      <c r="O12" s="31"/>
      <c r="P12" s="31"/>
      <c r="Q12" s="31"/>
      <c r="R12" s="31"/>
      <c r="S12" s="32"/>
    </row>
    <row r="13" spans="1:19" x14ac:dyDescent="0.25">
      <c r="A13" s="40">
        <v>3</v>
      </c>
      <c r="B13" s="21" t="s">
        <v>189</v>
      </c>
      <c r="C13" s="35" t="s">
        <v>8</v>
      </c>
      <c r="D13" s="19">
        <v>1</v>
      </c>
      <c r="E13" s="29">
        <v>7500</v>
      </c>
      <c r="F13" s="22">
        <f>E13*D13</f>
        <v>7500</v>
      </c>
      <c r="G13" s="16" t="s">
        <v>18</v>
      </c>
      <c r="H13" s="31"/>
      <c r="I13" s="31">
        <v>1</v>
      </c>
      <c r="J13" s="31"/>
      <c r="K13" s="31"/>
      <c r="L13" s="31"/>
      <c r="M13" s="31"/>
      <c r="N13" s="31"/>
      <c r="O13" s="31"/>
      <c r="P13" s="31"/>
      <c r="Q13" s="31"/>
      <c r="R13" s="31"/>
      <c r="S13" s="32"/>
    </row>
    <row r="14" spans="1:19" x14ac:dyDescent="0.25">
      <c r="A14" s="40">
        <v>4</v>
      </c>
      <c r="B14" s="144" t="s">
        <v>199</v>
      </c>
      <c r="C14" s="33" t="s">
        <v>8</v>
      </c>
      <c r="D14" s="145">
        <v>1</v>
      </c>
      <c r="E14" s="23">
        <v>5500</v>
      </c>
      <c r="F14" s="7">
        <f>E14*D14</f>
        <v>5500</v>
      </c>
      <c r="G14" s="146" t="s">
        <v>18</v>
      </c>
      <c r="H14" s="31"/>
      <c r="I14" s="31">
        <v>1</v>
      </c>
      <c r="J14" s="31"/>
      <c r="K14" s="31"/>
      <c r="L14" s="31"/>
      <c r="M14" s="31"/>
      <c r="N14" s="31"/>
      <c r="O14" s="31"/>
      <c r="P14" s="31"/>
      <c r="Q14" s="31"/>
      <c r="R14" s="31"/>
      <c r="S14" s="32"/>
    </row>
    <row r="15" spans="1:19" ht="13.8" thickBot="1" x14ac:dyDescent="0.3">
      <c r="A15" s="214" t="s">
        <v>57</v>
      </c>
      <c r="B15" s="215"/>
      <c r="C15" s="215"/>
      <c r="D15" s="215"/>
      <c r="E15" s="216"/>
      <c r="F15" s="46">
        <f>SUM(F11:F14)</f>
        <v>35900</v>
      </c>
      <c r="G15" s="217"/>
      <c r="H15" s="218"/>
      <c r="I15" s="218"/>
      <c r="J15" s="218"/>
      <c r="K15" s="218"/>
      <c r="L15" s="218"/>
      <c r="M15" s="218"/>
      <c r="N15" s="218"/>
      <c r="O15" s="218"/>
      <c r="P15" s="218"/>
      <c r="Q15" s="218"/>
      <c r="R15" s="218"/>
      <c r="S15" s="219"/>
    </row>
    <row r="16" spans="1:19" ht="13.8" x14ac:dyDescent="0.25">
      <c r="A16" s="211" t="s">
        <v>86</v>
      </c>
      <c r="B16" s="212"/>
      <c r="C16" s="212"/>
      <c r="D16" s="212"/>
      <c r="E16" s="212"/>
      <c r="F16" s="212"/>
      <c r="G16" s="212"/>
      <c r="H16" s="212"/>
      <c r="I16" s="212"/>
      <c r="J16" s="212"/>
      <c r="K16" s="212"/>
      <c r="L16" s="212"/>
      <c r="M16" s="212"/>
      <c r="N16" s="212"/>
      <c r="O16" s="212"/>
      <c r="P16" s="212"/>
      <c r="Q16" s="212"/>
      <c r="R16" s="212"/>
      <c r="S16" s="213"/>
    </row>
    <row r="17" spans="1:19" s="8" customFormat="1" x14ac:dyDescent="0.25">
      <c r="A17" s="48">
        <v>1</v>
      </c>
      <c r="B17" s="6" t="s">
        <v>179</v>
      </c>
      <c r="C17" s="6" t="s">
        <v>8</v>
      </c>
      <c r="D17" s="25">
        <v>4</v>
      </c>
      <c r="E17" s="24">
        <v>4000</v>
      </c>
      <c r="F17" s="22">
        <f>E17*D17</f>
        <v>16000</v>
      </c>
      <c r="G17" s="16" t="s">
        <v>18</v>
      </c>
      <c r="H17" s="38"/>
      <c r="I17" s="38">
        <v>4</v>
      </c>
      <c r="J17" s="38"/>
      <c r="K17" s="38"/>
      <c r="L17" s="38"/>
      <c r="M17" s="38"/>
      <c r="N17" s="38"/>
      <c r="O17" s="38"/>
      <c r="P17" s="38"/>
      <c r="Q17" s="38"/>
      <c r="R17" s="38"/>
      <c r="S17" s="39"/>
    </row>
    <row r="18" spans="1:19" s="8" customFormat="1" x14ac:dyDescent="0.25">
      <c r="A18" s="48">
        <v>2</v>
      </c>
      <c r="B18" s="6" t="s">
        <v>200</v>
      </c>
      <c r="C18" s="6" t="s">
        <v>8</v>
      </c>
      <c r="D18" s="25">
        <v>1</v>
      </c>
      <c r="E18" s="24">
        <v>4100</v>
      </c>
      <c r="F18" s="22">
        <f>E18*D18</f>
        <v>4100</v>
      </c>
      <c r="G18" s="16" t="s">
        <v>18</v>
      </c>
      <c r="H18" s="38"/>
      <c r="I18" s="38">
        <v>1</v>
      </c>
      <c r="J18" s="38"/>
      <c r="K18" s="38"/>
      <c r="L18" s="38"/>
      <c r="M18" s="38"/>
      <c r="N18" s="38"/>
      <c r="O18" s="38"/>
      <c r="P18" s="38"/>
      <c r="Q18" s="38"/>
      <c r="R18" s="38"/>
      <c r="S18" s="39"/>
    </row>
    <row r="19" spans="1:19" s="8" customFormat="1" x14ac:dyDescent="0.25">
      <c r="A19" s="48">
        <v>3</v>
      </c>
      <c r="B19" s="6" t="s">
        <v>198</v>
      </c>
      <c r="C19" s="6" t="s">
        <v>17</v>
      </c>
      <c r="D19" s="25">
        <v>1</v>
      </c>
      <c r="E19" s="29">
        <v>68000</v>
      </c>
      <c r="F19" s="22">
        <v>69000</v>
      </c>
      <c r="G19" s="16" t="s">
        <v>18</v>
      </c>
      <c r="H19" s="38"/>
      <c r="I19" s="38">
        <v>1</v>
      </c>
      <c r="J19" s="38"/>
      <c r="K19" s="38"/>
      <c r="L19" s="38"/>
      <c r="M19" s="38"/>
      <c r="N19" s="38"/>
      <c r="O19" s="38"/>
      <c r="P19" s="38"/>
      <c r="Q19" s="38"/>
      <c r="R19" s="38"/>
      <c r="S19" s="39"/>
    </row>
    <row r="20" spans="1:19" ht="13.8" thickBot="1" x14ac:dyDescent="0.3">
      <c r="A20" s="214" t="s">
        <v>57</v>
      </c>
      <c r="B20" s="215"/>
      <c r="C20" s="215"/>
      <c r="D20" s="215"/>
      <c r="E20" s="216"/>
      <c r="F20" s="46">
        <f>SUM(F17:F19)</f>
        <v>89100</v>
      </c>
      <c r="G20" s="217"/>
      <c r="H20" s="218"/>
      <c r="I20" s="218"/>
      <c r="J20" s="218"/>
      <c r="K20" s="218"/>
      <c r="L20" s="218"/>
      <c r="M20" s="218"/>
      <c r="N20" s="218"/>
      <c r="O20" s="218"/>
      <c r="P20" s="218"/>
      <c r="Q20" s="218"/>
      <c r="R20" s="218"/>
      <c r="S20" s="219"/>
    </row>
    <row r="21" spans="1:19" s="8" customFormat="1" ht="15.6" thickBot="1" x14ac:dyDescent="0.3">
      <c r="A21" s="220" t="s">
        <v>46</v>
      </c>
      <c r="B21" s="221"/>
      <c r="C21" s="221"/>
      <c r="D21" s="221"/>
      <c r="E21" s="222"/>
      <c r="F21" s="47">
        <f>SUM(F20,F15)</f>
        <v>125000</v>
      </c>
      <c r="G21" s="223"/>
      <c r="H21" s="224"/>
      <c r="I21" s="224"/>
      <c r="J21" s="224"/>
      <c r="K21" s="224"/>
      <c r="L21" s="224"/>
      <c r="M21" s="224"/>
      <c r="N21" s="224"/>
      <c r="O21" s="224"/>
      <c r="P21" s="224"/>
      <c r="Q21" s="224"/>
      <c r="R21" s="224"/>
      <c r="S21" s="225"/>
    </row>
    <row r="22" spans="1:19" x14ac:dyDescent="0.25">
      <c r="A22" s="227" t="s">
        <v>47</v>
      </c>
      <c r="B22" s="227"/>
      <c r="C22" s="227"/>
      <c r="D22" s="227"/>
      <c r="E22" s="227"/>
      <c r="F22" s="227"/>
      <c r="G22" s="227"/>
      <c r="H22" s="227"/>
      <c r="I22" s="227"/>
      <c r="J22" s="227"/>
      <c r="K22" s="227"/>
      <c r="L22" s="227"/>
      <c r="M22" s="227"/>
      <c r="N22" s="227"/>
      <c r="O22" s="227"/>
      <c r="P22" s="227"/>
      <c r="Q22" s="227"/>
      <c r="R22" s="227"/>
      <c r="S22" s="227"/>
    </row>
    <row r="23" spans="1:19" x14ac:dyDescent="0.25">
      <c r="A23" s="183" t="s">
        <v>48</v>
      </c>
      <c r="B23" s="183"/>
      <c r="C23" s="183" t="s">
        <v>49</v>
      </c>
      <c r="D23" s="183"/>
      <c r="E23" s="183"/>
      <c r="F23" s="183"/>
      <c r="G23" s="183"/>
      <c r="H23" s="183"/>
      <c r="I23" s="183"/>
      <c r="J23" s="183"/>
      <c r="K23" s="183"/>
      <c r="L23" s="183" t="s">
        <v>50</v>
      </c>
      <c r="M23" s="183"/>
      <c r="N23" s="183"/>
      <c r="O23" s="183"/>
      <c r="P23" s="183"/>
      <c r="Q23" s="183"/>
      <c r="R23" s="183"/>
      <c r="S23" s="183"/>
    </row>
    <row r="24" spans="1:19" x14ac:dyDescent="0.25">
      <c r="A24" s="183"/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  <c r="N24" s="183"/>
      <c r="O24" s="183"/>
      <c r="P24" s="183"/>
      <c r="Q24" s="183"/>
      <c r="R24" s="183"/>
      <c r="S24" s="183"/>
    </row>
    <row r="25" spans="1:19" ht="15" x14ac:dyDescent="0.25">
      <c r="A25" s="1"/>
      <c r="B25" s="1"/>
      <c r="C25" s="1"/>
      <c r="D25" s="1"/>
      <c r="E25" s="8"/>
      <c r="F25" s="8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13.8" x14ac:dyDescent="0.25">
      <c r="A26" s="2"/>
      <c r="B26" s="8"/>
      <c r="C26" s="181"/>
      <c r="D26" s="181"/>
      <c r="E26" s="8"/>
      <c r="F26" s="8"/>
      <c r="G26" s="12"/>
      <c r="H26" s="12"/>
      <c r="I26" s="12"/>
      <c r="J26" s="12"/>
      <c r="K26" s="12"/>
      <c r="L26" s="12"/>
      <c r="M26" s="12"/>
      <c r="N26" s="8"/>
      <c r="O26" s="8"/>
      <c r="P26" s="8"/>
      <c r="Q26" s="8"/>
      <c r="R26" s="4"/>
      <c r="S26" s="12"/>
    </row>
    <row r="27" spans="1:19" ht="13.8" x14ac:dyDescent="0.25">
      <c r="A27" s="8"/>
      <c r="C27" s="8"/>
      <c r="D27" s="8"/>
      <c r="G27" s="3"/>
      <c r="H27" s="8"/>
      <c r="I27" s="8"/>
      <c r="J27" s="8"/>
      <c r="K27" s="8"/>
      <c r="L27" s="8"/>
      <c r="S27" s="8"/>
    </row>
    <row r="28" spans="1:19" x14ac:dyDescent="0.25">
      <c r="A28" s="8"/>
      <c r="B28" s="5" t="s">
        <v>56</v>
      </c>
      <c r="C28" s="8"/>
      <c r="D28" s="8"/>
      <c r="E28" s="180" t="s">
        <v>148</v>
      </c>
      <c r="F28" s="180"/>
      <c r="G28" s="8"/>
      <c r="H28" s="8"/>
      <c r="I28" s="8"/>
      <c r="J28" s="8"/>
      <c r="K28" s="8"/>
      <c r="L28" s="8"/>
      <c r="N28" s="184" t="s">
        <v>19</v>
      </c>
      <c r="O28" s="184"/>
      <c r="P28" s="184"/>
      <c r="Q28" s="184"/>
      <c r="R28" s="184"/>
      <c r="S28" s="184"/>
    </row>
    <row r="29" spans="1:19" x14ac:dyDescent="0.25">
      <c r="B29" s="13" t="s">
        <v>28</v>
      </c>
      <c r="E29" s="179" t="s">
        <v>101</v>
      </c>
      <c r="F29" s="180"/>
      <c r="N29" s="8"/>
      <c r="O29" s="179" t="s">
        <v>3</v>
      </c>
      <c r="P29" s="179"/>
      <c r="Q29" s="179"/>
      <c r="R29" s="179"/>
      <c r="S29" s="8"/>
    </row>
    <row r="36" spans="6:8" x14ac:dyDescent="0.25">
      <c r="F36" s="226"/>
      <c r="G36" s="226"/>
      <c r="H36" s="226"/>
    </row>
  </sheetData>
  <mergeCells count="30">
    <mergeCell ref="A21:E21"/>
    <mergeCell ref="G21:S21"/>
    <mergeCell ref="E29:F29"/>
    <mergeCell ref="O29:R29"/>
    <mergeCell ref="F36:H36"/>
    <mergeCell ref="A22:S22"/>
    <mergeCell ref="A23:B24"/>
    <mergeCell ref="C23:K24"/>
    <mergeCell ref="L23:S24"/>
    <mergeCell ref="C26:D26"/>
    <mergeCell ref="E28:F28"/>
    <mergeCell ref="N28:S28"/>
    <mergeCell ref="G8:G9"/>
    <mergeCell ref="H8:S8"/>
    <mergeCell ref="A16:S16"/>
    <mergeCell ref="A20:E20"/>
    <mergeCell ref="G20:S20"/>
    <mergeCell ref="A8:A9"/>
    <mergeCell ref="B8:B9"/>
    <mergeCell ref="C8:C9"/>
    <mergeCell ref="E8:E9"/>
    <mergeCell ref="F8:F9"/>
    <mergeCell ref="G15:S15"/>
    <mergeCell ref="A15:E15"/>
    <mergeCell ref="A10:S10"/>
    <mergeCell ref="A1:S1"/>
    <mergeCell ref="A2:S2"/>
    <mergeCell ref="A3:S3"/>
    <mergeCell ref="A4:S4"/>
    <mergeCell ref="A6:S6"/>
  </mergeCells>
  <pageMargins left="0.25" right="0.25" top="0.75" bottom="0.75" header="0.3" footer="0.3"/>
  <pageSetup paperSize="14" scale="8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47"/>
  <sheetViews>
    <sheetView tabSelected="1" topLeftCell="A20" workbookViewId="0">
      <selection activeCell="F32" sqref="F32"/>
    </sheetView>
  </sheetViews>
  <sheetFormatPr defaultColWidth="9.33203125" defaultRowHeight="13.2" x14ac:dyDescent="0.25"/>
  <cols>
    <col min="1" max="1" width="5.44140625" style="106" customWidth="1"/>
    <col min="2" max="2" width="44.77734375" style="106" bestFit="1" customWidth="1"/>
    <col min="3" max="3" width="18.44140625" style="106" bestFit="1" customWidth="1"/>
    <col min="4" max="4" width="5.6640625" style="106" customWidth="1"/>
    <col min="5" max="5" width="11.77734375" style="106" bestFit="1" customWidth="1"/>
    <col min="6" max="6" width="22" style="106" bestFit="1" customWidth="1"/>
    <col min="7" max="7" width="24" style="106" bestFit="1" customWidth="1"/>
    <col min="8" max="8" width="5.77734375" style="106" customWidth="1"/>
    <col min="9" max="9" width="6" style="106" customWidth="1"/>
    <col min="10" max="10" width="6.33203125" style="106" customWidth="1"/>
    <col min="11" max="11" width="5.77734375" style="106" customWidth="1"/>
    <col min="12" max="12" width="6.6640625" style="106" customWidth="1"/>
    <col min="13" max="13" width="5.77734375" style="106" customWidth="1"/>
    <col min="14" max="14" width="6.6640625" style="106" customWidth="1"/>
    <col min="15" max="16" width="6.109375" style="106" customWidth="1"/>
    <col min="17" max="17" width="5.77734375" style="106" customWidth="1"/>
    <col min="18" max="18" width="6.44140625" style="106" customWidth="1"/>
    <col min="19" max="19" width="6.109375" style="106" customWidth="1"/>
    <col min="20" max="16384" width="9.33203125" style="106"/>
  </cols>
  <sheetData>
    <row r="1" spans="1:19" x14ac:dyDescent="0.25">
      <c r="A1" s="255" t="s">
        <v>72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</row>
    <row r="2" spans="1:19" ht="20.399999999999999" x14ac:dyDescent="0.25">
      <c r="A2" s="256" t="s">
        <v>162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</row>
    <row r="3" spans="1:19" ht="14.4" x14ac:dyDescent="0.25">
      <c r="A3" s="257" t="s">
        <v>0</v>
      </c>
      <c r="B3" s="257"/>
      <c r="C3" s="257"/>
      <c r="D3" s="257"/>
      <c r="E3" s="257"/>
      <c r="F3" s="257"/>
      <c r="G3" s="257"/>
      <c r="H3" s="257"/>
      <c r="I3" s="257"/>
      <c r="J3" s="257"/>
      <c r="K3" s="257"/>
      <c r="L3" s="257"/>
      <c r="M3" s="257"/>
      <c r="N3" s="257"/>
      <c r="O3" s="257"/>
      <c r="P3" s="257"/>
      <c r="Q3" s="257"/>
      <c r="R3" s="257"/>
      <c r="S3" s="257"/>
    </row>
    <row r="4" spans="1:19" ht="13.8" x14ac:dyDescent="0.25">
      <c r="A4" s="258" t="s">
        <v>4</v>
      </c>
      <c r="B4" s="258"/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58"/>
      <c r="O4" s="258"/>
      <c r="P4" s="258"/>
      <c r="Q4" s="258"/>
      <c r="R4" s="258"/>
      <c r="S4" s="258"/>
    </row>
    <row r="5" spans="1:19" ht="13.8" x14ac:dyDescent="0.25">
      <c r="A5" s="141"/>
      <c r="B5" s="141" t="s">
        <v>5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</row>
    <row r="6" spans="1:19" ht="13.8" x14ac:dyDescent="0.25">
      <c r="A6" s="259" t="s">
        <v>52</v>
      </c>
      <c r="B6" s="259"/>
      <c r="C6" s="259"/>
      <c r="D6" s="259"/>
      <c r="E6" s="259"/>
      <c r="F6" s="259"/>
      <c r="G6" s="259"/>
      <c r="H6" s="259"/>
      <c r="I6" s="259"/>
      <c r="J6" s="259"/>
      <c r="K6" s="259"/>
      <c r="L6" s="259"/>
      <c r="M6" s="259"/>
      <c r="N6" s="259"/>
      <c r="O6" s="259"/>
      <c r="P6" s="259"/>
      <c r="Q6" s="259"/>
      <c r="R6" s="259"/>
      <c r="S6" s="259"/>
    </row>
    <row r="7" spans="1:19" ht="13.8" thickBot="1" x14ac:dyDescent="0.3"/>
    <row r="8" spans="1:19" ht="15" x14ac:dyDescent="0.25">
      <c r="A8" s="260" t="s">
        <v>6</v>
      </c>
      <c r="B8" s="262" t="s">
        <v>31</v>
      </c>
      <c r="C8" s="264" t="s">
        <v>30</v>
      </c>
      <c r="D8" s="140" t="s">
        <v>32</v>
      </c>
      <c r="E8" s="264" t="s">
        <v>33</v>
      </c>
      <c r="F8" s="264" t="s">
        <v>53</v>
      </c>
      <c r="G8" s="250" t="s">
        <v>34</v>
      </c>
      <c r="H8" s="252" t="s">
        <v>1</v>
      </c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4"/>
    </row>
    <row r="9" spans="1:19" ht="13.8" x14ac:dyDescent="0.25">
      <c r="A9" s="261"/>
      <c r="B9" s="263"/>
      <c r="C9" s="265"/>
      <c r="D9" s="139" t="s">
        <v>35</v>
      </c>
      <c r="E9" s="265"/>
      <c r="F9" s="265"/>
      <c r="G9" s="251"/>
      <c r="H9" s="138" t="s">
        <v>36</v>
      </c>
      <c r="I9" s="138" t="s">
        <v>37</v>
      </c>
      <c r="J9" s="138" t="s">
        <v>38</v>
      </c>
      <c r="K9" s="138" t="s">
        <v>39</v>
      </c>
      <c r="L9" s="138" t="s">
        <v>40</v>
      </c>
      <c r="M9" s="138" t="s">
        <v>41</v>
      </c>
      <c r="N9" s="138" t="s">
        <v>42</v>
      </c>
      <c r="O9" s="138" t="s">
        <v>43</v>
      </c>
      <c r="P9" s="138" t="s">
        <v>44</v>
      </c>
      <c r="Q9" s="138" t="s">
        <v>45</v>
      </c>
      <c r="R9" s="138" t="s">
        <v>2</v>
      </c>
      <c r="S9" s="137" t="s">
        <v>7</v>
      </c>
    </row>
    <row r="10" spans="1:19" ht="13.8" x14ac:dyDescent="0.25">
      <c r="A10" s="233" t="s">
        <v>147</v>
      </c>
      <c r="B10" s="234"/>
      <c r="C10" s="23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34"/>
      <c r="Q10" s="234"/>
      <c r="R10" s="234"/>
      <c r="S10" s="235"/>
    </row>
    <row r="11" spans="1:19" x14ac:dyDescent="0.25">
      <c r="A11" s="124">
        <v>1</v>
      </c>
      <c r="B11" s="136" t="s">
        <v>181</v>
      </c>
      <c r="C11" s="135" t="s">
        <v>8</v>
      </c>
      <c r="D11" s="134">
        <v>3</v>
      </c>
      <c r="E11" s="121">
        <v>1100</v>
      </c>
      <c r="F11" s="120">
        <f>E11*D11</f>
        <v>3300</v>
      </c>
      <c r="G11" s="119" t="s">
        <v>18</v>
      </c>
      <c r="H11" s="133"/>
      <c r="I11" s="134">
        <v>3</v>
      </c>
      <c r="J11" s="133"/>
      <c r="K11" s="133"/>
      <c r="L11" s="133"/>
      <c r="M11" s="133"/>
      <c r="N11" s="133"/>
      <c r="O11" s="133"/>
      <c r="P11" s="133"/>
      <c r="Q11" s="133"/>
      <c r="R11" s="133"/>
      <c r="S11" s="132"/>
    </row>
    <row r="12" spans="1:19" x14ac:dyDescent="0.25">
      <c r="A12" s="124">
        <v>2</v>
      </c>
      <c r="B12" s="136" t="s">
        <v>222</v>
      </c>
      <c r="C12" s="135" t="s">
        <v>8</v>
      </c>
      <c r="D12" s="134">
        <v>1</v>
      </c>
      <c r="E12" s="121">
        <v>1100</v>
      </c>
      <c r="F12" s="120">
        <f>E12*D12</f>
        <v>1100</v>
      </c>
      <c r="G12" s="119" t="s">
        <v>18</v>
      </c>
      <c r="H12" s="133"/>
      <c r="I12" s="134">
        <v>1</v>
      </c>
      <c r="J12" s="133"/>
      <c r="K12" s="133"/>
      <c r="L12" s="133"/>
      <c r="M12" s="133"/>
      <c r="N12" s="133"/>
      <c r="O12" s="133"/>
      <c r="P12" s="133"/>
      <c r="Q12" s="133"/>
      <c r="R12" s="133"/>
      <c r="S12" s="132"/>
    </row>
    <row r="13" spans="1:19" x14ac:dyDescent="0.25">
      <c r="A13" s="124">
        <v>3</v>
      </c>
      <c r="B13" s="136" t="s">
        <v>182</v>
      </c>
      <c r="C13" s="135" t="s">
        <v>8</v>
      </c>
      <c r="D13" s="134">
        <v>2</v>
      </c>
      <c r="E13" s="121">
        <v>300</v>
      </c>
      <c r="F13" s="120">
        <f>E13*D13</f>
        <v>600</v>
      </c>
      <c r="G13" s="119" t="s">
        <v>18</v>
      </c>
      <c r="H13" s="133"/>
      <c r="I13" s="134">
        <v>2</v>
      </c>
      <c r="J13" s="133"/>
      <c r="K13" s="133"/>
      <c r="L13" s="133"/>
      <c r="M13" s="133"/>
      <c r="N13" s="133"/>
      <c r="O13" s="133"/>
      <c r="P13" s="133"/>
      <c r="Q13" s="133"/>
      <c r="R13" s="133"/>
      <c r="S13" s="132"/>
    </row>
    <row r="14" spans="1:19" x14ac:dyDescent="0.25">
      <c r="A14" s="124">
        <v>4</v>
      </c>
      <c r="B14" s="136" t="s">
        <v>176</v>
      </c>
      <c r="C14" s="135" t="s">
        <v>8</v>
      </c>
      <c r="D14" s="134">
        <v>4</v>
      </c>
      <c r="E14" s="121">
        <v>1000</v>
      </c>
      <c r="F14" s="120">
        <f>E14*D14</f>
        <v>4000</v>
      </c>
      <c r="G14" s="119" t="s">
        <v>18</v>
      </c>
      <c r="H14" s="133"/>
      <c r="I14" s="134">
        <v>4</v>
      </c>
      <c r="J14" s="133"/>
      <c r="K14" s="133"/>
      <c r="L14" s="133"/>
      <c r="M14" s="133"/>
      <c r="N14" s="133"/>
      <c r="O14" s="133"/>
      <c r="P14" s="133"/>
      <c r="Q14" s="133"/>
      <c r="R14" s="133"/>
      <c r="S14" s="132"/>
    </row>
    <row r="15" spans="1:19" x14ac:dyDescent="0.25">
      <c r="A15" s="124">
        <v>5</v>
      </c>
      <c r="B15" s="136" t="s">
        <v>203</v>
      </c>
      <c r="C15" s="135" t="s">
        <v>8</v>
      </c>
      <c r="D15" s="134">
        <v>4</v>
      </c>
      <c r="E15" s="121">
        <v>3000</v>
      </c>
      <c r="F15" s="120">
        <f>E15*D15</f>
        <v>12000</v>
      </c>
      <c r="G15" s="119" t="s">
        <v>18</v>
      </c>
      <c r="H15" s="133"/>
      <c r="I15" s="134">
        <v>4</v>
      </c>
      <c r="J15" s="133"/>
      <c r="K15" s="133"/>
      <c r="L15" s="133"/>
      <c r="M15" s="133"/>
      <c r="N15" s="133"/>
      <c r="O15" s="133"/>
      <c r="P15" s="133"/>
      <c r="Q15" s="133"/>
      <c r="R15" s="133"/>
      <c r="S15" s="132"/>
    </row>
    <row r="16" spans="1:19" ht="13.8" thickBot="1" x14ac:dyDescent="0.3">
      <c r="A16" s="236" t="s">
        <v>57</v>
      </c>
      <c r="B16" s="237"/>
      <c r="C16" s="237"/>
      <c r="D16" s="237"/>
      <c r="E16" s="238"/>
      <c r="F16" s="116">
        <f>SUM(F11:F15)</f>
        <v>21000</v>
      </c>
      <c r="G16" s="239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1"/>
    </row>
    <row r="17" spans="1:38" ht="13.8" x14ac:dyDescent="0.25">
      <c r="A17" s="233" t="s">
        <v>86</v>
      </c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5"/>
    </row>
    <row r="18" spans="1:38" customFormat="1" x14ac:dyDescent="0.25">
      <c r="A18" s="148">
        <v>1</v>
      </c>
      <c r="B18" s="6" t="s">
        <v>197</v>
      </c>
      <c r="C18" s="6" t="s">
        <v>17</v>
      </c>
      <c r="D18" s="25">
        <v>1</v>
      </c>
      <c r="E18" s="22">
        <v>40000</v>
      </c>
      <c r="F18" s="22">
        <f t="shared" ref="F18:F25" si="0">E18*D18</f>
        <v>40000</v>
      </c>
      <c r="G18" s="16" t="s">
        <v>18</v>
      </c>
      <c r="H18" s="38"/>
      <c r="I18" s="25">
        <v>1</v>
      </c>
      <c r="J18" s="38"/>
      <c r="K18" s="38"/>
      <c r="L18" s="38"/>
      <c r="M18" s="38"/>
      <c r="N18" s="38"/>
      <c r="O18" s="38"/>
      <c r="P18" s="38"/>
      <c r="Q18" s="38"/>
      <c r="R18" s="38"/>
      <c r="S18" s="39"/>
      <c r="T18" s="8"/>
      <c r="U18" s="147"/>
      <c r="V18" s="147"/>
      <c r="W18" s="51"/>
      <c r="X18" s="149"/>
      <c r="Y18" s="149"/>
      <c r="Z18" s="150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</row>
    <row r="19" spans="1:38" customFormat="1" x14ac:dyDescent="0.25">
      <c r="A19" s="148">
        <v>2</v>
      </c>
      <c r="B19" s="6" t="s">
        <v>205</v>
      </c>
      <c r="C19" s="6" t="s">
        <v>8</v>
      </c>
      <c r="D19" s="25">
        <v>1</v>
      </c>
      <c r="E19" s="22">
        <v>4500</v>
      </c>
      <c r="F19" s="22">
        <f t="shared" si="0"/>
        <v>4500</v>
      </c>
      <c r="G19" s="16" t="s">
        <v>18</v>
      </c>
      <c r="H19" s="38"/>
      <c r="I19" s="25">
        <v>1</v>
      </c>
      <c r="J19" s="38"/>
      <c r="K19" s="38"/>
      <c r="L19" s="38"/>
      <c r="M19" s="38"/>
      <c r="N19" s="38"/>
      <c r="O19" s="38"/>
      <c r="P19" s="38"/>
      <c r="Q19" s="38"/>
      <c r="R19" s="38"/>
      <c r="S19" s="39"/>
      <c r="T19" s="8"/>
      <c r="U19" s="147"/>
      <c r="V19" s="147"/>
      <c r="W19" s="51"/>
      <c r="X19" s="149"/>
      <c r="Y19" s="149"/>
      <c r="Z19" s="150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</row>
    <row r="20" spans="1:38" customFormat="1" x14ac:dyDescent="0.25">
      <c r="A20" s="148">
        <v>3</v>
      </c>
      <c r="B20" s="6" t="s">
        <v>206</v>
      </c>
      <c r="C20" s="6" t="s">
        <v>8</v>
      </c>
      <c r="D20" s="25">
        <v>4</v>
      </c>
      <c r="E20" s="22">
        <v>4000</v>
      </c>
      <c r="F20" s="22">
        <f t="shared" si="0"/>
        <v>16000</v>
      </c>
      <c r="G20" s="16" t="s">
        <v>18</v>
      </c>
      <c r="H20" s="38"/>
      <c r="I20" s="25">
        <v>5</v>
      </c>
      <c r="J20" s="38"/>
      <c r="K20" s="38"/>
      <c r="L20" s="38"/>
      <c r="M20" s="38"/>
      <c r="N20" s="38"/>
      <c r="O20" s="38"/>
      <c r="P20" s="38"/>
      <c r="Q20" s="38"/>
      <c r="R20" s="38"/>
      <c r="S20" s="39"/>
      <c r="T20" s="8"/>
      <c r="U20" s="147"/>
      <c r="V20" s="147"/>
      <c r="W20" s="51"/>
      <c r="X20" s="149"/>
      <c r="Y20" s="149"/>
      <c r="Z20" s="150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</row>
    <row r="21" spans="1:38" s="107" customFormat="1" x14ac:dyDescent="0.25">
      <c r="A21" s="148">
        <v>4</v>
      </c>
      <c r="B21" s="131" t="s">
        <v>194</v>
      </c>
      <c r="C21" s="33" t="s">
        <v>8</v>
      </c>
      <c r="D21" s="122">
        <v>1</v>
      </c>
      <c r="E21" s="130">
        <v>46000</v>
      </c>
      <c r="F21" s="22">
        <f t="shared" si="0"/>
        <v>46000</v>
      </c>
      <c r="G21" s="16" t="s">
        <v>18</v>
      </c>
      <c r="H21" s="118"/>
      <c r="I21" s="122">
        <v>1</v>
      </c>
      <c r="J21" s="118"/>
      <c r="K21" s="118"/>
      <c r="L21" s="118"/>
      <c r="M21" s="118"/>
      <c r="N21" s="118"/>
      <c r="O21" s="118"/>
      <c r="P21" s="118"/>
      <c r="Q21" s="118"/>
      <c r="R21" s="118"/>
      <c r="S21" s="117"/>
    </row>
    <row r="22" spans="1:38" s="8" customFormat="1" x14ac:dyDescent="0.25">
      <c r="A22" s="148">
        <v>5</v>
      </c>
      <c r="B22" s="6" t="s">
        <v>221</v>
      </c>
      <c r="C22" s="6" t="s">
        <v>8</v>
      </c>
      <c r="D22" s="30">
        <v>2</v>
      </c>
      <c r="E22" s="154">
        <v>16500</v>
      </c>
      <c r="F22" s="18">
        <f t="shared" si="0"/>
        <v>33000</v>
      </c>
      <c r="G22" s="16" t="s">
        <v>18</v>
      </c>
      <c r="H22" s="30"/>
      <c r="I22" s="37">
        <v>3</v>
      </c>
      <c r="J22" s="30"/>
      <c r="K22" s="30"/>
      <c r="L22" s="30"/>
      <c r="M22" s="30"/>
      <c r="N22" s="30"/>
      <c r="O22" s="30"/>
      <c r="P22" s="30"/>
      <c r="Q22" s="30"/>
      <c r="R22" s="30"/>
      <c r="S22" s="42"/>
    </row>
    <row r="23" spans="1:38" s="107" customFormat="1" x14ac:dyDescent="0.25">
      <c r="A23" s="148">
        <v>5</v>
      </c>
      <c r="B23" s="153" t="s">
        <v>201</v>
      </c>
      <c r="C23" s="33" t="s">
        <v>8</v>
      </c>
      <c r="D23" s="122">
        <v>1</v>
      </c>
      <c r="E23" s="130">
        <v>2500</v>
      </c>
      <c r="F23" s="22">
        <f t="shared" si="0"/>
        <v>2500</v>
      </c>
      <c r="G23" s="119" t="s">
        <v>18</v>
      </c>
      <c r="H23" s="118"/>
      <c r="I23" s="122">
        <v>1</v>
      </c>
      <c r="J23" s="118"/>
      <c r="K23" s="118"/>
      <c r="L23" s="118"/>
      <c r="M23" s="118"/>
      <c r="N23" s="118"/>
      <c r="O23" s="118"/>
      <c r="P23" s="118"/>
      <c r="Q23" s="118"/>
      <c r="R23" s="118"/>
      <c r="S23" s="117"/>
    </row>
    <row r="24" spans="1:38" s="107" customFormat="1" ht="26.4" x14ac:dyDescent="0.25">
      <c r="A24" s="148">
        <v>6</v>
      </c>
      <c r="B24" s="6" t="s">
        <v>196</v>
      </c>
      <c r="C24" s="123" t="s">
        <v>8</v>
      </c>
      <c r="D24" s="126">
        <v>1</v>
      </c>
      <c r="E24" s="129">
        <v>8000</v>
      </c>
      <c r="F24" s="22">
        <f t="shared" si="0"/>
        <v>8000</v>
      </c>
      <c r="G24" s="119" t="s">
        <v>18</v>
      </c>
      <c r="H24" s="127"/>
      <c r="I24" s="126">
        <v>1</v>
      </c>
      <c r="J24" s="126"/>
      <c r="K24" s="126"/>
      <c r="L24" s="126"/>
      <c r="M24" s="126"/>
      <c r="N24" s="126"/>
      <c r="O24" s="126"/>
      <c r="P24" s="126"/>
      <c r="Q24" s="126"/>
      <c r="R24" s="126"/>
      <c r="S24" s="125"/>
    </row>
    <row r="25" spans="1:38" s="107" customFormat="1" x14ac:dyDescent="0.25">
      <c r="A25" s="148">
        <v>7</v>
      </c>
      <c r="B25" s="6" t="s">
        <v>204</v>
      </c>
      <c r="C25" s="123" t="s">
        <v>8</v>
      </c>
      <c r="D25" s="126">
        <v>2</v>
      </c>
      <c r="E25" s="129">
        <v>2800</v>
      </c>
      <c r="F25" s="22">
        <f t="shared" si="0"/>
        <v>5600</v>
      </c>
      <c r="G25" s="119" t="s">
        <v>18</v>
      </c>
      <c r="H25" s="127"/>
      <c r="I25" s="126">
        <v>2</v>
      </c>
      <c r="J25" s="126"/>
      <c r="K25" s="126"/>
      <c r="L25" s="126"/>
      <c r="M25" s="126"/>
      <c r="N25" s="126"/>
      <c r="O25" s="126"/>
      <c r="P25" s="126"/>
      <c r="Q25" s="126"/>
      <c r="R25" s="126"/>
      <c r="S25" s="125"/>
    </row>
    <row r="26" spans="1:38" s="107" customFormat="1" x14ac:dyDescent="0.25">
      <c r="A26" s="148">
        <v>8</v>
      </c>
      <c r="B26" s="123" t="s">
        <v>191</v>
      </c>
      <c r="C26" s="123" t="s">
        <v>8</v>
      </c>
      <c r="D26" s="126">
        <v>1</v>
      </c>
      <c r="E26" s="129">
        <v>5000</v>
      </c>
      <c r="F26" s="128">
        <f>E26*D26</f>
        <v>5000</v>
      </c>
      <c r="G26" s="119" t="s">
        <v>18</v>
      </c>
      <c r="H26" s="127"/>
      <c r="I26" s="126">
        <v>1</v>
      </c>
      <c r="J26" s="126"/>
      <c r="K26" s="126"/>
      <c r="L26" s="126"/>
      <c r="M26" s="126"/>
      <c r="N26" s="126"/>
      <c r="O26" s="126"/>
      <c r="P26" s="126"/>
      <c r="Q26" s="126"/>
      <c r="R26" s="126"/>
      <c r="S26" s="125"/>
    </row>
    <row r="27" spans="1:38" s="107" customFormat="1" x14ac:dyDescent="0.25">
      <c r="A27" s="148">
        <v>10</v>
      </c>
      <c r="B27" s="123" t="s">
        <v>192</v>
      </c>
      <c r="C27" s="123" t="s">
        <v>8</v>
      </c>
      <c r="D27" s="126">
        <v>1</v>
      </c>
      <c r="E27" s="129">
        <v>16500</v>
      </c>
      <c r="F27" s="128">
        <f>E27*D27</f>
        <v>16500</v>
      </c>
      <c r="G27" s="119" t="s">
        <v>18</v>
      </c>
      <c r="H27" s="127"/>
      <c r="I27" s="126">
        <v>1</v>
      </c>
      <c r="J27" s="126"/>
      <c r="K27" s="126"/>
      <c r="L27" s="126"/>
      <c r="M27" s="126"/>
      <c r="N27" s="126"/>
      <c r="O27" s="126"/>
      <c r="P27" s="126"/>
      <c r="Q27" s="126"/>
      <c r="R27" s="126"/>
      <c r="S27" s="125"/>
    </row>
    <row r="28" spans="1:38" s="107" customFormat="1" x14ac:dyDescent="0.25">
      <c r="A28" s="148">
        <v>11</v>
      </c>
      <c r="B28" s="123" t="s">
        <v>195</v>
      </c>
      <c r="C28" s="123" t="s">
        <v>8</v>
      </c>
      <c r="D28" s="126">
        <v>2</v>
      </c>
      <c r="E28" s="129">
        <v>12000</v>
      </c>
      <c r="F28" s="128">
        <f>E28*D28</f>
        <v>24000</v>
      </c>
      <c r="G28" s="119" t="s">
        <v>18</v>
      </c>
      <c r="H28" s="127"/>
      <c r="I28" s="126">
        <v>2</v>
      </c>
      <c r="J28" s="126"/>
      <c r="K28" s="126"/>
      <c r="L28" s="126"/>
      <c r="M28" s="126"/>
      <c r="N28" s="126"/>
      <c r="O28" s="126"/>
      <c r="P28" s="126"/>
      <c r="Q28" s="126"/>
      <c r="R28" s="126"/>
      <c r="S28" s="125"/>
    </row>
    <row r="29" spans="1:38" s="107" customFormat="1" x14ac:dyDescent="0.25">
      <c r="A29" s="148">
        <v>12</v>
      </c>
      <c r="B29" s="123" t="s">
        <v>202</v>
      </c>
      <c r="C29" s="123" t="s">
        <v>8</v>
      </c>
      <c r="D29" s="126">
        <v>1</v>
      </c>
      <c r="E29" s="129">
        <v>1000</v>
      </c>
      <c r="F29" s="128">
        <f>E29*D29</f>
        <v>1000</v>
      </c>
      <c r="G29" s="119" t="s">
        <v>18</v>
      </c>
      <c r="H29" s="127"/>
      <c r="I29" s="126">
        <v>1</v>
      </c>
      <c r="J29" s="126"/>
      <c r="K29" s="126"/>
      <c r="L29" s="126"/>
      <c r="M29" s="126"/>
      <c r="N29" s="126"/>
      <c r="O29" s="126"/>
      <c r="P29" s="126"/>
      <c r="Q29" s="126"/>
      <c r="R29" s="126"/>
      <c r="S29" s="125"/>
    </row>
    <row r="30" spans="1:38" s="107" customFormat="1" x14ac:dyDescent="0.25">
      <c r="A30" s="148">
        <v>13</v>
      </c>
      <c r="B30" s="123" t="s">
        <v>193</v>
      </c>
      <c r="C30" s="123" t="s">
        <v>8</v>
      </c>
      <c r="D30" s="126">
        <v>1</v>
      </c>
      <c r="E30" s="129">
        <v>1000</v>
      </c>
      <c r="F30" s="128">
        <f>E30*D30</f>
        <v>1000</v>
      </c>
      <c r="G30" s="119" t="s">
        <v>18</v>
      </c>
      <c r="H30" s="127"/>
      <c r="I30" s="126">
        <v>1</v>
      </c>
      <c r="J30" s="126"/>
      <c r="K30" s="126"/>
      <c r="L30" s="126"/>
      <c r="M30" s="126"/>
      <c r="N30" s="126"/>
      <c r="O30" s="126"/>
      <c r="P30" s="126"/>
      <c r="Q30" s="126"/>
      <c r="R30" s="126"/>
      <c r="S30" s="125"/>
    </row>
    <row r="31" spans="1:38" ht="13.8" thickBot="1" x14ac:dyDescent="0.3">
      <c r="A31" s="236" t="s">
        <v>57</v>
      </c>
      <c r="B31" s="237"/>
      <c r="C31" s="237"/>
      <c r="D31" s="237"/>
      <c r="E31" s="238"/>
      <c r="F31" s="116">
        <f>SUM(F18:F30)</f>
        <v>203100</v>
      </c>
      <c r="G31" s="239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1"/>
    </row>
    <row r="32" spans="1:38" s="107" customFormat="1" ht="15.6" thickBot="1" x14ac:dyDescent="0.3">
      <c r="A32" s="244" t="s">
        <v>46</v>
      </c>
      <c r="B32" s="245"/>
      <c r="C32" s="245"/>
      <c r="D32" s="245"/>
      <c r="E32" s="246"/>
      <c r="F32" s="115">
        <f>SUM(F31,F16)</f>
        <v>224100</v>
      </c>
      <c r="G32" s="247"/>
      <c r="H32" s="248"/>
      <c r="I32" s="248"/>
      <c r="J32" s="248"/>
      <c r="K32" s="248"/>
      <c r="L32" s="248"/>
      <c r="M32" s="248"/>
      <c r="N32" s="248"/>
      <c r="O32" s="248"/>
      <c r="P32" s="248"/>
      <c r="Q32" s="248"/>
      <c r="R32" s="248"/>
      <c r="S32" s="249"/>
    </row>
    <row r="33" spans="1:19" x14ac:dyDescent="0.25">
      <c r="A33" s="242" t="s">
        <v>47</v>
      </c>
      <c r="B33" s="242"/>
      <c r="C33" s="242"/>
      <c r="D33" s="242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2"/>
      <c r="R33" s="242"/>
      <c r="S33" s="242"/>
    </row>
    <row r="34" spans="1:19" x14ac:dyDescent="0.25">
      <c r="A34" s="243" t="s">
        <v>48</v>
      </c>
      <c r="B34" s="243"/>
      <c r="C34" s="243" t="s">
        <v>49</v>
      </c>
      <c r="D34" s="243"/>
      <c r="E34" s="243"/>
      <c r="F34" s="243"/>
      <c r="G34" s="243"/>
      <c r="H34" s="243"/>
      <c r="I34" s="243"/>
      <c r="J34" s="243"/>
      <c r="K34" s="243"/>
      <c r="L34" s="243" t="s">
        <v>50</v>
      </c>
      <c r="M34" s="243"/>
      <c r="N34" s="243"/>
      <c r="O34" s="243"/>
      <c r="P34" s="243"/>
      <c r="Q34" s="243"/>
      <c r="R34" s="243"/>
      <c r="S34" s="243"/>
    </row>
    <row r="35" spans="1:19" x14ac:dyDescent="0.25">
      <c r="A35" s="243"/>
      <c r="B35" s="243"/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</row>
    <row r="36" spans="1:19" ht="15" x14ac:dyDescent="0.25">
      <c r="A36" s="114"/>
      <c r="B36" s="114"/>
      <c r="C36" s="114"/>
      <c r="D36" s="114"/>
      <c r="E36" s="107"/>
      <c r="F36" s="107"/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</row>
    <row r="37" spans="1:19" ht="13.8" x14ac:dyDescent="0.25">
      <c r="A37" s="113"/>
      <c r="B37" s="107"/>
      <c r="C37" s="231"/>
      <c r="D37" s="231"/>
      <c r="E37" s="107"/>
      <c r="F37" s="107"/>
      <c r="G37" s="111"/>
      <c r="H37" s="111"/>
      <c r="I37" s="111"/>
      <c r="J37" s="111"/>
      <c r="K37" s="111"/>
      <c r="L37" s="111"/>
      <c r="M37" s="111"/>
      <c r="N37" s="107"/>
      <c r="O37" s="107"/>
      <c r="P37" s="107"/>
      <c r="Q37" s="107"/>
      <c r="R37" s="112"/>
      <c r="S37" s="111"/>
    </row>
    <row r="38" spans="1:19" ht="13.8" x14ac:dyDescent="0.25">
      <c r="A38" s="107"/>
      <c r="C38" s="107"/>
      <c r="D38" s="107"/>
      <c r="G38" s="110"/>
      <c r="H38" s="107"/>
      <c r="I38" s="107"/>
      <c r="J38" s="107"/>
      <c r="K38" s="107"/>
      <c r="L38" s="107"/>
      <c r="S38" s="107"/>
    </row>
    <row r="39" spans="1:19" x14ac:dyDescent="0.25">
      <c r="A39" s="107"/>
      <c r="B39" s="109" t="s">
        <v>56</v>
      </c>
      <c r="C39" s="107"/>
      <c r="D39" s="107"/>
      <c r="E39" s="180" t="s">
        <v>148</v>
      </c>
      <c r="F39" s="180"/>
      <c r="G39" s="107"/>
      <c r="H39" s="107"/>
      <c r="I39" s="107"/>
      <c r="J39" s="107"/>
      <c r="K39" s="107"/>
      <c r="L39" s="107"/>
      <c r="N39" s="232" t="s">
        <v>19</v>
      </c>
      <c r="O39" s="232"/>
      <c r="P39" s="232"/>
      <c r="Q39" s="232"/>
      <c r="R39" s="232"/>
      <c r="S39" s="232"/>
    </row>
    <row r="40" spans="1:19" x14ac:dyDescent="0.25">
      <c r="B40" s="108" t="s">
        <v>28</v>
      </c>
      <c r="E40" s="228" t="s">
        <v>101</v>
      </c>
      <c r="F40" s="229"/>
      <c r="N40" s="107"/>
      <c r="O40" s="228" t="s">
        <v>3</v>
      </c>
      <c r="P40" s="228"/>
      <c r="Q40" s="228"/>
      <c r="R40" s="228"/>
      <c r="S40" s="107"/>
    </row>
    <row r="47" spans="1:19" x14ac:dyDescent="0.25">
      <c r="F47" s="230"/>
      <c r="G47" s="230"/>
      <c r="H47" s="230"/>
    </row>
  </sheetData>
  <mergeCells count="30">
    <mergeCell ref="G8:G9"/>
    <mergeCell ref="H8:S8"/>
    <mergeCell ref="A1:S1"/>
    <mergeCell ref="A2:S2"/>
    <mergeCell ref="A3:S3"/>
    <mergeCell ref="A4:S4"/>
    <mergeCell ref="A6:S6"/>
    <mergeCell ref="A8:A9"/>
    <mergeCell ref="B8:B9"/>
    <mergeCell ref="C8:C9"/>
    <mergeCell ref="E8:E9"/>
    <mergeCell ref="F8:F9"/>
    <mergeCell ref="A10:S10"/>
    <mergeCell ref="A16:E16"/>
    <mergeCell ref="G16:S16"/>
    <mergeCell ref="A33:S33"/>
    <mergeCell ref="A34:B35"/>
    <mergeCell ref="C34:K35"/>
    <mergeCell ref="L34:S35"/>
    <mergeCell ref="A17:S17"/>
    <mergeCell ref="A31:E31"/>
    <mergeCell ref="G31:S31"/>
    <mergeCell ref="A32:E32"/>
    <mergeCell ref="G32:S32"/>
    <mergeCell ref="E40:F40"/>
    <mergeCell ref="O40:R40"/>
    <mergeCell ref="F47:H47"/>
    <mergeCell ref="C37:D37"/>
    <mergeCell ref="E39:F39"/>
    <mergeCell ref="N39:S39"/>
  </mergeCells>
  <pageMargins left="0.25" right="0.25" top="0.75" bottom="0.75" header="0.3" footer="0.3"/>
  <pageSetup paperSize="14" scale="7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71"/>
  <sheetViews>
    <sheetView topLeftCell="A8" zoomScaleNormal="100" workbookViewId="0">
      <selection activeCell="O11" sqref="O11:O31"/>
    </sheetView>
  </sheetViews>
  <sheetFormatPr defaultRowHeight="13.2" x14ac:dyDescent="0.25"/>
  <cols>
    <col min="1" max="1" width="5.44140625" customWidth="1"/>
    <col min="2" max="2" width="38.6640625" customWidth="1"/>
    <col min="3" max="3" width="18.44140625" bestFit="1" customWidth="1"/>
    <col min="4" max="4" width="5.6640625" customWidth="1"/>
    <col min="5" max="5" width="11.77734375" bestFit="1" customWidth="1"/>
    <col min="6" max="6" width="22" bestFit="1" customWidth="1"/>
    <col min="7" max="7" width="24" bestFit="1" customWidth="1"/>
    <col min="8" max="8" width="5.77734375" customWidth="1"/>
    <col min="9" max="9" width="6" customWidth="1"/>
    <col min="10" max="10" width="6.33203125" customWidth="1"/>
    <col min="11" max="11" width="5.77734375" customWidth="1"/>
    <col min="12" max="12" width="6.6640625" customWidth="1"/>
    <col min="13" max="13" width="5.77734375" customWidth="1"/>
    <col min="14" max="14" width="6.6640625" customWidth="1"/>
    <col min="15" max="16" width="6.109375" customWidth="1"/>
    <col min="17" max="17" width="5.77734375" customWidth="1"/>
    <col min="18" max="18" width="6.44140625" customWidth="1"/>
    <col min="19" max="19" width="6.109375" customWidth="1"/>
  </cols>
  <sheetData>
    <row r="1" spans="1:21" x14ac:dyDescent="0.25">
      <c r="A1" s="189" t="s">
        <v>72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1:21" ht="20.399999999999999" x14ac:dyDescent="0.25">
      <c r="A2" s="185" t="s">
        <v>162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21" ht="14.4" x14ac:dyDescent="0.25">
      <c r="A3" s="186" t="s">
        <v>0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1:21" ht="13.8" x14ac:dyDescent="0.25">
      <c r="A4" s="187" t="s">
        <v>4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</row>
    <row r="5" spans="1:21" ht="13.8" x14ac:dyDescent="0.25">
      <c r="A5" s="50"/>
      <c r="B5" s="50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1:21" ht="13.8" x14ac:dyDescent="0.25">
      <c r="A6" s="210" t="s">
        <v>52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</row>
    <row r="7" spans="1:21" ht="13.8" thickBot="1" x14ac:dyDescent="0.3"/>
    <row r="8" spans="1:21" ht="15" x14ac:dyDescent="0.25">
      <c r="A8" s="277" t="s">
        <v>6</v>
      </c>
      <c r="B8" s="279" t="s">
        <v>31</v>
      </c>
      <c r="C8" s="281" t="s">
        <v>30</v>
      </c>
      <c r="D8" s="52" t="s">
        <v>32</v>
      </c>
      <c r="E8" s="281" t="s">
        <v>33</v>
      </c>
      <c r="F8" s="281" t="s">
        <v>53</v>
      </c>
      <c r="G8" s="273" t="s">
        <v>34</v>
      </c>
      <c r="H8" s="275" t="s">
        <v>1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6"/>
    </row>
    <row r="9" spans="1:21" ht="13.8" x14ac:dyDescent="0.25">
      <c r="A9" s="278"/>
      <c r="B9" s="280"/>
      <c r="C9" s="282"/>
      <c r="D9" s="14" t="s">
        <v>35</v>
      </c>
      <c r="E9" s="282"/>
      <c r="F9" s="282"/>
      <c r="G9" s="274"/>
      <c r="H9" s="15" t="s">
        <v>36</v>
      </c>
      <c r="I9" s="15" t="s">
        <v>37</v>
      </c>
      <c r="J9" s="15" t="s">
        <v>38</v>
      </c>
      <c r="K9" s="15" t="s">
        <v>39</v>
      </c>
      <c r="L9" s="15" t="s">
        <v>40</v>
      </c>
      <c r="M9" s="15" t="s">
        <v>41</v>
      </c>
      <c r="N9" s="15" t="s">
        <v>42</v>
      </c>
      <c r="O9" s="15" t="s">
        <v>43</v>
      </c>
      <c r="P9" s="15" t="s">
        <v>44</v>
      </c>
      <c r="Q9" s="15" t="s">
        <v>45</v>
      </c>
      <c r="R9" s="15" t="s">
        <v>2</v>
      </c>
      <c r="S9" s="17" t="s">
        <v>7</v>
      </c>
    </row>
    <row r="10" spans="1:21" ht="13.95" customHeight="1" x14ac:dyDescent="0.25">
      <c r="A10" s="211" t="s">
        <v>163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3"/>
    </row>
    <row r="11" spans="1:21" x14ac:dyDescent="0.25">
      <c r="A11" s="48">
        <v>1</v>
      </c>
      <c r="B11" s="143" t="s">
        <v>164</v>
      </c>
      <c r="C11" s="6" t="s">
        <v>165</v>
      </c>
      <c r="D11" s="25">
        <v>50</v>
      </c>
      <c r="E11" s="27">
        <v>290</v>
      </c>
      <c r="F11" s="7">
        <f>E11*D11</f>
        <v>14500</v>
      </c>
      <c r="G11" s="16" t="s">
        <v>18</v>
      </c>
      <c r="H11" s="38"/>
      <c r="I11" s="38"/>
      <c r="J11" s="38"/>
      <c r="K11" s="38"/>
      <c r="L11" s="38"/>
      <c r="M11" s="38"/>
      <c r="N11" s="38"/>
      <c r="O11" s="25">
        <v>50</v>
      </c>
      <c r="P11" s="38"/>
      <c r="Q11" s="152"/>
      <c r="R11" s="38"/>
      <c r="S11" s="39"/>
      <c r="U11" s="51"/>
    </row>
    <row r="12" spans="1:21" x14ac:dyDescent="0.25">
      <c r="A12" s="48">
        <v>2</v>
      </c>
      <c r="B12" s="143" t="s">
        <v>215</v>
      </c>
      <c r="C12" s="6" t="s">
        <v>165</v>
      </c>
      <c r="D12" s="25">
        <v>50</v>
      </c>
      <c r="E12" s="27">
        <v>260</v>
      </c>
      <c r="F12" s="7">
        <f>E12*D12</f>
        <v>13000</v>
      </c>
      <c r="G12" s="16" t="s">
        <v>18</v>
      </c>
      <c r="H12" s="38"/>
      <c r="I12" s="38"/>
      <c r="J12" s="38"/>
      <c r="K12" s="38"/>
      <c r="L12" s="38"/>
      <c r="M12" s="38"/>
      <c r="N12" s="38"/>
      <c r="O12" s="25">
        <v>50</v>
      </c>
      <c r="P12" s="38"/>
      <c r="Q12" s="152"/>
      <c r="R12" s="38"/>
      <c r="S12" s="39"/>
      <c r="U12" s="51"/>
    </row>
    <row r="13" spans="1:21" x14ac:dyDescent="0.25">
      <c r="A13" s="48">
        <v>3</v>
      </c>
      <c r="B13" s="143" t="s">
        <v>166</v>
      </c>
      <c r="C13" s="6" t="s">
        <v>8</v>
      </c>
      <c r="D13" s="25">
        <v>100</v>
      </c>
      <c r="E13" s="27">
        <v>25</v>
      </c>
      <c r="F13" s="7">
        <f>E13*D13</f>
        <v>2500</v>
      </c>
      <c r="G13" s="16" t="s">
        <v>18</v>
      </c>
      <c r="H13" s="38"/>
      <c r="I13" s="38"/>
      <c r="J13" s="38"/>
      <c r="K13" s="38"/>
      <c r="L13" s="38"/>
      <c r="M13" s="38"/>
      <c r="N13" s="38"/>
      <c r="O13" s="25">
        <v>100</v>
      </c>
      <c r="P13" s="38"/>
      <c r="Q13" s="152"/>
      <c r="R13" s="38"/>
      <c r="S13" s="39"/>
      <c r="U13" s="51"/>
    </row>
    <row r="14" spans="1:21" x14ac:dyDescent="0.25">
      <c r="A14" s="48">
        <v>4</v>
      </c>
      <c r="B14" s="143" t="s">
        <v>167</v>
      </c>
      <c r="C14" s="6" t="s">
        <v>8</v>
      </c>
      <c r="D14" s="25">
        <v>100</v>
      </c>
      <c r="E14" s="27">
        <v>15</v>
      </c>
      <c r="F14" s="7">
        <f t="shared" ref="F14:F23" si="0">E14*D14</f>
        <v>1500</v>
      </c>
      <c r="G14" s="16" t="s">
        <v>18</v>
      </c>
      <c r="H14" s="38"/>
      <c r="I14" s="38"/>
      <c r="J14" s="38"/>
      <c r="K14" s="38"/>
      <c r="L14" s="38"/>
      <c r="M14" s="38"/>
      <c r="N14" s="38"/>
      <c r="O14" s="25">
        <v>100</v>
      </c>
      <c r="P14" s="38"/>
      <c r="Q14" s="152"/>
      <c r="R14" s="38"/>
      <c r="S14" s="39"/>
      <c r="U14" s="51"/>
    </row>
    <row r="15" spans="1:21" s="8" customFormat="1" x14ac:dyDescent="0.25">
      <c r="A15" s="48">
        <v>5</v>
      </c>
      <c r="B15" s="6" t="s">
        <v>20</v>
      </c>
      <c r="C15" s="6" t="s">
        <v>11</v>
      </c>
      <c r="D15" s="26">
        <v>20</v>
      </c>
      <c r="E15" s="22">
        <v>450</v>
      </c>
      <c r="F15" s="22">
        <f t="shared" si="0"/>
        <v>9000</v>
      </c>
      <c r="G15" s="56" t="s">
        <v>18</v>
      </c>
      <c r="H15" s="102"/>
      <c r="I15" s="102"/>
      <c r="J15" s="102"/>
      <c r="K15" s="102"/>
      <c r="L15" s="102"/>
      <c r="M15" s="102"/>
      <c r="N15" s="38"/>
      <c r="O15" s="26">
        <v>20</v>
      </c>
      <c r="P15" s="38"/>
      <c r="Q15" s="38"/>
      <c r="R15" s="38"/>
      <c r="S15" s="39"/>
    </row>
    <row r="16" spans="1:21" s="8" customFormat="1" x14ac:dyDescent="0.25">
      <c r="A16" s="48">
        <v>6</v>
      </c>
      <c r="B16" s="6" t="s">
        <v>22</v>
      </c>
      <c r="C16" s="6" t="s">
        <v>11</v>
      </c>
      <c r="D16" s="26">
        <v>20</v>
      </c>
      <c r="E16" s="22">
        <v>450</v>
      </c>
      <c r="F16" s="22">
        <f t="shared" si="0"/>
        <v>9000</v>
      </c>
      <c r="G16" s="56" t="s">
        <v>18</v>
      </c>
      <c r="H16" s="102"/>
      <c r="I16" s="102"/>
      <c r="J16" s="102"/>
      <c r="K16" s="102"/>
      <c r="L16" s="102"/>
      <c r="M16" s="102"/>
      <c r="N16" s="38"/>
      <c r="O16" s="26">
        <v>20</v>
      </c>
      <c r="P16" s="38"/>
      <c r="Q16" s="38"/>
      <c r="R16" s="38"/>
      <c r="S16" s="39"/>
    </row>
    <row r="17" spans="1:21" s="8" customFormat="1" x14ac:dyDescent="0.25">
      <c r="A17" s="48">
        <v>7</v>
      </c>
      <c r="B17" s="6" t="s">
        <v>23</v>
      </c>
      <c r="C17" s="6" t="s">
        <v>11</v>
      </c>
      <c r="D17" s="26">
        <v>20</v>
      </c>
      <c r="E17" s="22">
        <v>450</v>
      </c>
      <c r="F17" s="22">
        <f t="shared" si="0"/>
        <v>9000</v>
      </c>
      <c r="G17" s="56" t="s">
        <v>18</v>
      </c>
      <c r="H17" s="102"/>
      <c r="I17" s="102"/>
      <c r="J17" s="102"/>
      <c r="K17" s="102"/>
      <c r="L17" s="102"/>
      <c r="M17" s="102"/>
      <c r="N17" s="38"/>
      <c r="O17" s="26">
        <v>20</v>
      </c>
      <c r="P17" s="38"/>
      <c r="Q17" s="38"/>
      <c r="R17" s="38"/>
      <c r="S17" s="39"/>
    </row>
    <row r="18" spans="1:21" s="8" customFormat="1" ht="16.5" customHeight="1" x14ac:dyDescent="0.25">
      <c r="A18" s="48">
        <v>8</v>
      </c>
      <c r="B18" s="6" t="s">
        <v>21</v>
      </c>
      <c r="C18" s="6" t="s">
        <v>11</v>
      </c>
      <c r="D18" s="26">
        <v>20</v>
      </c>
      <c r="E18" s="22">
        <v>450</v>
      </c>
      <c r="F18" s="22">
        <f t="shared" si="0"/>
        <v>9000</v>
      </c>
      <c r="G18" s="56" t="s">
        <v>18</v>
      </c>
      <c r="H18" s="102"/>
      <c r="I18" s="102"/>
      <c r="J18" s="102"/>
      <c r="K18" s="102"/>
      <c r="L18" s="102"/>
      <c r="M18" s="102"/>
      <c r="N18" s="38"/>
      <c r="O18" s="26">
        <v>20</v>
      </c>
      <c r="P18" s="38"/>
      <c r="Q18" s="38"/>
      <c r="R18" s="38"/>
      <c r="S18" s="39"/>
    </row>
    <row r="19" spans="1:21" s="8" customFormat="1" ht="16.5" customHeight="1" x14ac:dyDescent="0.25">
      <c r="A19" s="48">
        <v>9</v>
      </c>
      <c r="B19" s="6" t="s">
        <v>218</v>
      </c>
      <c r="C19" s="6" t="s">
        <v>11</v>
      </c>
      <c r="D19" s="26">
        <v>10</v>
      </c>
      <c r="E19" s="22">
        <v>400</v>
      </c>
      <c r="F19" s="22">
        <f t="shared" si="0"/>
        <v>4000</v>
      </c>
      <c r="G19" s="56" t="s">
        <v>18</v>
      </c>
      <c r="H19" s="102"/>
      <c r="I19" s="102"/>
      <c r="J19" s="102"/>
      <c r="K19" s="102"/>
      <c r="L19" s="102"/>
      <c r="M19" s="102"/>
      <c r="N19" s="38"/>
      <c r="O19" s="26">
        <v>10</v>
      </c>
      <c r="P19" s="38"/>
      <c r="Q19" s="38"/>
      <c r="R19" s="38"/>
      <c r="S19" s="39"/>
    </row>
    <row r="20" spans="1:21" s="8" customFormat="1" ht="16.5" customHeight="1" x14ac:dyDescent="0.25">
      <c r="A20" s="48">
        <v>10</v>
      </c>
      <c r="B20" s="6" t="s">
        <v>217</v>
      </c>
      <c r="C20" s="6" t="s">
        <v>11</v>
      </c>
      <c r="D20" s="26">
        <v>10</v>
      </c>
      <c r="E20" s="22">
        <v>400</v>
      </c>
      <c r="F20" s="22">
        <f t="shared" si="0"/>
        <v>4000</v>
      </c>
      <c r="G20" s="56" t="s">
        <v>18</v>
      </c>
      <c r="H20" s="102"/>
      <c r="I20" s="102"/>
      <c r="J20" s="102"/>
      <c r="K20" s="102"/>
      <c r="L20" s="102"/>
      <c r="M20" s="102"/>
      <c r="N20" s="38"/>
      <c r="O20" s="26">
        <v>10</v>
      </c>
      <c r="P20" s="38"/>
      <c r="Q20" s="38"/>
      <c r="R20" s="38"/>
      <c r="S20" s="39"/>
    </row>
    <row r="21" spans="1:21" s="8" customFormat="1" ht="16.5" customHeight="1" x14ac:dyDescent="0.25">
      <c r="A21" s="48">
        <v>11</v>
      </c>
      <c r="B21" s="6" t="s">
        <v>219</v>
      </c>
      <c r="C21" s="6" t="s">
        <v>11</v>
      </c>
      <c r="D21" s="26">
        <v>10</v>
      </c>
      <c r="E21" s="22">
        <v>400</v>
      </c>
      <c r="F21" s="22">
        <f t="shared" si="0"/>
        <v>4000</v>
      </c>
      <c r="G21" s="56" t="s">
        <v>18</v>
      </c>
      <c r="H21" s="102"/>
      <c r="I21" s="102"/>
      <c r="J21" s="102"/>
      <c r="K21" s="102"/>
      <c r="L21" s="102"/>
      <c r="M21" s="102"/>
      <c r="N21" s="38"/>
      <c r="O21" s="26">
        <v>10</v>
      </c>
      <c r="P21" s="38"/>
      <c r="Q21" s="38"/>
      <c r="R21" s="38"/>
      <c r="S21" s="39"/>
    </row>
    <row r="22" spans="1:21" s="8" customFormat="1" ht="16.5" customHeight="1" x14ac:dyDescent="0.25">
      <c r="A22" s="48">
        <v>12</v>
      </c>
      <c r="B22" s="6" t="s">
        <v>220</v>
      </c>
      <c r="C22" s="6" t="s">
        <v>11</v>
      </c>
      <c r="D22" s="26">
        <v>10</v>
      </c>
      <c r="E22" s="22">
        <v>400</v>
      </c>
      <c r="F22" s="22">
        <f t="shared" si="0"/>
        <v>4000</v>
      </c>
      <c r="G22" s="56" t="s">
        <v>18</v>
      </c>
      <c r="H22" s="102"/>
      <c r="I22" s="102"/>
      <c r="J22" s="102"/>
      <c r="K22" s="102"/>
      <c r="L22" s="102"/>
      <c r="M22" s="102"/>
      <c r="N22" s="38"/>
      <c r="O22" s="26">
        <v>10</v>
      </c>
      <c r="P22" s="38"/>
      <c r="Q22" s="38"/>
      <c r="R22" s="38"/>
      <c r="S22" s="39"/>
    </row>
    <row r="23" spans="1:21" x14ac:dyDescent="0.25">
      <c r="A23" s="48">
        <v>13</v>
      </c>
      <c r="B23" s="6" t="s">
        <v>168</v>
      </c>
      <c r="C23" s="6" t="s">
        <v>8</v>
      </c>
      <c r="D23" s="25">
        <v>100</v>
      </c>
      <c r="E23" s="22">
        <v>50</v>
      </c>
      <c r="F23" s="22">
        <f t="shared" si="0"/>
        <v>5000</v>
      </c>
      <c r="G23" s="56" t="s">
        <v>18</v>
      </c>
      <c r="H23" s="38"/>
      <c r="I23" s="38"/>
      <c r="J23" s="38"/>
      <c r="K23" s="38"/>
      <c r="L23" s="38"/>
      <c r="M23" s="38"/>
      <c r="N23" s="38"/>
      <c r="O23" s="25">
        <v>100</v>
      </c>
      <c r="P23" s="38"/>
      <c r="Q23" s="152"/>
      <c r="R23" s="38"/>
      <c r="S23" s="39"/>
      <c r="U23" s="51"/>
    </row>
    <row r="24" spans="1:21" x14ac:dyDescent="0.25">
      <c r="A24" s="48">
        <v>14</v>
      </c>
      <c r="B24" s="6" t="s">
        <v>169</v>
      </c>
      <c r="C24" s="6" t="s">
        <v>8</v>
      </c>
      <c r="D24" s="25">
        <v>24</v>
      </c>
      <c r="E24" s="22">
        <v>100</v>
      </c>
      <c r="F24" s="22">
        <f t="shared" ref="F24:F31" si="1">E24*D24</f>
        <v>2400</v>
      </c>
      <c r="G24" s="16" t="s">
        <v>18</v>
      </c>
      <c r="H24" s="38"/>
      <c r="I24" s="38"/>
      <c r="J24" s="38"/>
      <c r="K24" s="38"/>
      <c r="L24" s="38"/>
      <c r="M24" s="38"/>
      <c r="N24" s="38"/>
      <c r="O24" s="25">
        <v>24</v>
      </c>
      <c r="P24" s="38"/>
      <c r="Q24" s="152"/>
      <c r="R24" s="38"/>
      <c r="S24" s="39"/>
      <c r="U24" s="51"/>
    </row>
    <row r="25" spans="1:21" x14ac:dyDescent="0.25">
      <c r="A25" s="48">
        <v>15</v>
      </c>
      <c r="B25" s="6" t="s">
        <v>170</v>
      </c>
      <c r="C25" s="6" t="s">
        <v>8</v>
      </c>
      <c r="D25" s="25">
        <v>100</v>
      </c>
      <c r="E25" s="22">
        <v>25</v>
      </c>
      <c r="F25" s="22">
        <f t="shared" si="1"/>
        <v>2500</v>
      </c>
      <c r="G25" s="16" t="s">
        <v>18</v>
      </c>
      <c r="H25" s="38"/>
      <c r="I25" s="38"/>
      <c r="J25" s="38"/>
      <c r="K25" s="38"/>
      <c r="L25" s="38"/>
      <c r="M25" s="38"/>
      <c r="N25" s="38"/>
      <c r="O25" s="25">
        <v>100</v>
      </c>
      <c r="P25" s="38"/>
      <c r="Q25" s="152"/>
      <c r="R25" s="38"/>
      <c r="S25" s="39"/>
    </row>
    <row r="26" spans="1:21" x14ac:dyDescent="0.25">
      <c r="A26" s="48">
        <v>16</v>
      </c>
      <c r="B26" s="6" t="s">
        <v>171</v>
      </c>
      <c r="C26" s="6" t="s">
        <v>8</v>
      </c>
      <c r="D26" s="25">
        <v>60</v>
      </c>
      <c r="E26" s="22">
        <v>300</v>
      </c>
      <c r="F26" s="22">
        <f t="shared" si="1"/>
        <v>18000</v>
      </c>
      <c r="G26" s="16" t="s">
        <v>18</v>
      </c>
      <c r="H26" s="38"/>
      <c r="I26" s="38"/>
      <c r="J26" s="38" t="s">
        <v>216</v>
      </c>
      <c r="K26" s="38"/>
      <c r="L26" s="38"/>
      <c r="M26" s="38"/>
      <c r="N26" s="38"/>
      <c r="O26" s="25">
        <v>60</v>
      </c>
      <c r="P26" s="38"/>
      <c r="Q26" s="152"/>
      <c r="R26" s="38"/>
      <c r="S26" s="39"/>
    </row>
    <row r="27" spans="1:21" x14ac:dyDescent="0.25">
      <c r="A27" s="48">
        <v>17</v>
      </c>
      <c r="B27" s="6" t="s">
        <v>172</v>
      </c>
      <c r="C27" s="6" t="s">
        <v>8</v>
      </c>
      <c r="D27" s="25">
        <v>60</v>
      </c>
      <c r="E27" s="22">
        <v>450</v>
      </c>
      <c r="F27" s="22">
        <f t="shared" si="1"/>
        <v>27000</v>
      </c>
      <c r="G27" s="16" t="s">
        <v>18</v>
      </c>
      <c r="H27" s="38"/>
      <c r="I27" s="38"/>
      <c r="J27" s="38"/>
      <c r="K27" s="38"/>
      <c r="L27" s="38"/>
      <c r="M27" s="38"/>
      <c r="N27" s="38"/>
      <c r="O27" s="25">
        <v>60</v>
      </c>
      <c r="P27" s="38"/>
      <c r="Q27" s="152"/>
      <c r="R27" s="38"/>
      <c r="S27" s="39"/>
    </row>
    <row r="28" spans="1:21" x14ac:dyDescent="0.25">
      <c r="A28" s="48">
        <v>18</v>
      </c>
      <c r="B28" s="6" t="s">
        <v>173</v>
      </c>
      <c r="C28" s="6" t="s">
        <v>165</v>
      </c>
      <c r="D28" s="25">
        <v>5</v>
      </c>
      <c r="E28" s="22">
        <v>950</v>
      </c>
      <c r="F28" s="22">
        <f t="shared" si="1"/>
        <v>4750</v>
      </c>
      <c r="G28" s="16" t="s">
        <v>18</v>
      </c>
      <c r="H28" s="38"/>
      <c r="I28" s="38"/>
      <c r="J28" s="38"/>
      <c r="K28" s="38"/>
      <c r="L28" s="38"/>
      <c r="M28" s="38"/>
      <c r="N28" s="38"/>
      <c r="O28" s="25">
        <v>5</v>
      </c>
      <c r="P28" s="38"/>
      <c r="Q28" s="152"/>
      <c r="R28" s="38"/>
      <c r="S28" s="39"/>
    </row>
    <row r="29" spans="1:21" x14ac:dyDescent="0.25">
      <c r="A29" s="48">
        <v>19</v>
      </c>
      <c r="B29" s="6" t="s">
        <v>174</v>
      </c>
      <c r="C29" s="6" t="s">
        <v>8</v>
      </c>
      <c r="D29" s="25">
        <v>200</v>
      </c>
      <c r="E29" s="22">
        <v>25</v>
      </c>
      <c r="F29" s="22">
        <f t="shared" si="1"/>
        <v>5000</v>
      </c>
      <c r="G29" s="16" t="s">
        <v>18</v>
      </c>
      <c r="H29" s="38"/>
      <c r="I29" s="38"/>
      <c r="J29" s="38"/>
      <c r="K29" s="38"/>
      <c r="L29" s="38"/>
      <c r="M29" s="38"/>
      <c r="N29" s="38"/>
      <c r="O29" s="25">
        <v>200</v>
      </c>
      <c r="P29" s="38"/>
      <c r="Q29" s="152"/>
      <c r="R29" s="38"/>
      <c r="S29" s="39"/>
    </row>
    <row r="30" spans="1:21" x14ac:dyDescent="0.25">
      <c r="A30" s="48">
        <v>20</v>
      </c>
      <c r="B30" s="35" t="s">
        <v>70</v>
      </c>
      <c r="C30" s="35" t="s">
        <v>8</v>
      </c>
      <c r="D30" s="25">
        <v>20</v>
      </c>
      <c r="E30" s="27">
        <v>2000</v>
      </c>
      <c r="F30" s="22">
        <f t="shared" si="1"/>
        <v>40000</v>
      </c>
      <c r="G30" s="16" t="s">
        <v>18</v>
      </c>
      <c r="H30" s="38"/>
      <c r="I30" s="38"/>
      <c r="J30" s="38"/>
      <c r="K30" s="38"/>
      <c r="L30" s="38"/>
      <c r="M30" s="38"/>
      <c r="N30" s="38"/>
      <c r="O30" s="25">
        <v>20</v>
      </c>
      <c r="P30" s="38"/>
      <c r="Q30" s="152"/>
      <c r="R30" s="38"/>
      <c r="S30" s="39"/>
    </row>
    <row r="31" spans="1:21" ht="12.75" customHeight="1" x14ac:dyDescent="0.25">
      <c r="A31" s="48">
        <v>21</v>
      </c>
      <c r="B31" s="35" t="s">
        <v>175</v>
      </c>
      <c r="C31" s="35" t="s">
        <v>66</v>
      </c>
      <c r="D31" s="25">
        <v>40</v>
      </c>
      <c r="E31" s="27">
        <v>500</v>
      </c>
      <c r="F31" s="22">
        <f t="shared" si="1"/>
        <v>20000</v>
      </c>
      <c r="G31" s="16" t="s">
        <v>18</v>
      </c>
      <c r="H31" s="38"/>
      <c r="I31" s="38"/>
      <c r="J31" s="38"/>
      <c r="K31" s="38"/>
      <c r="L31" s="38"/>
      <c r="M31" s="38"/>
      <c r="N31" s="38"/>
      <c r="O31" s="25">
        <v>40</v>
      </c>
      <c r="P31" s="38"/>
      <c r="Q31" s="152"/>
      <c r="R31" s="38"/>
      <c r="S31" s="39"/>
    </row>
    <row r="32" spans="1:21" ht="13.8" thickBot="1" x14ac:dyDescent="0.3">
      <c r="A32" s="269" t="s">
        <v>57</v>
      </c>
      <c r="B32" s="270"/>
      <c r="C32" s="270"/>
      <c r="D32" s="270"/>
      <c r="E32" s="270"/>
      <c r="F32" s="46">
        <f>SUM(F11:F31)</f>
        <v>208150</v>
      </c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1"/>
      <c r="R32" s="271"/>
      <c r="S32" s="272"/>
      <c r="U32" s="51"/>
    </row>
    <row r="33" spans="1:21" ht="13.95" customHeight="1" x14ac:dyDescent="0.25">
      <c r="A33" s="211" t="s">
        <v>207</v>
      </c>
      <c r="B33" s="212"/>
      <c r="C33" s="212"/>
      <c r="D33" s="212"/>
      <c r="E33" s="212"/>
      <c r="F33" s="212"/>
      <c r="G33" s="212"/>
      <c r="H33" s="212"/>
      <c r="I33" s="212"/>
      <c r="J33" s="212"/>
      <c r="K33" s="212"/>
      <c r="L33" s="212"/>
      <c r="M33" s="212"/>
      <c r="N33" s="212"/>
      <c r="O33" s="212"/>
      <c r="P33" s="212"/>
      <c r="Q33" s="212"/>
      <c r="R33" s="212"/>
      <c r="S33" s="213"/>
      <c r="U33" s="51"/>
    </row>
    <row r="34" spans="1:21" x14ac:dyDescent="0.25">
      <c r="A34" s="48">
        <v>1</v>
      </c>
      <c r="B34" s="143" t="s">
        <v>151</v>
      </c>
      <c r="C34" s="6" t="s">
        <v>66</v>
      </c>
      <c r="D34" s="25">
        <v>50</v>
      </c>
      <c r="E34" s="27">
        <v>250</v>
      </c>
      <c r="F34" s="7">
        <f>E34*D34</f>
        <v>12500</v>
      </c>
      <c r="G34" s="16" t="s">
        <v>18</v>
      </c>
      <c r="H34" s="38"/>
      <c r="I34" s="38"/>
      <c r="J34" s="38"/>
      <c r="K34" s="38"/>
      <c r="L34" s="38"/>
      <c r="M34" s="38"/>
      <c r="N34" s="38"/>
      <c r="O34" s="25">
        <v>50</v>
      </c>
      <c r="P34" s="38"/>
      <c r="Q34" s="152"/>
      <c r="R34" s="38"/>
      <c r="S34" s="39"/>
      <c r="U34" s="51"/>
    </row>
    <row r="35" spans="1:21" x14ac:dyDescent="0.25">
      <c r="A35" s="48">
        <v>2</v>
      </c>
      <c r="B35" s="8" t="s">
        <v>74</v>
      </c>
      <c r="C35" s="6" t="s">
        <v>8</v>
      </c>
      <c r="D35" s="25">
        <v>5</v>
      </c>
      <c r="E35" s="27">
        <v>300</v>
      </c>
      <c r="F35" s="7">
        <f>E35*D35</f>
        <v>1500</v>
      </c>
      <c r="G35" s="16" t="s">
        <v>18</v>
      </c>
      <c r="H35" s="38"/>
      <c r="I35" s="38"/>
      <c r="J35" s="38"/>
      <c r="K35" s="38"/>
      <c r="L35" s="38"/>
      <c r="M35" s="38"/>
      <c r="N35" s="38"/>
      <c r="O35" s="25">
        <v>5</v>
      </c>
      <c r="P35" s="38"/>
      <c r="Q35" s="152"/>
      <c r="R35" s="38"/>
      <c r="S35" s="39"/>
      <c r="U35" s="51"/>
    </row>
    <row r="36" spans="1:21" x14ac:dyDescent="0.25">
      <c r="A36" s="48">
        <v>3</v>
      </c>
      <c r="B36" s="6" t="s">
        <v>208</v>
      </c>
      <c r="C36" s="6" t="s">
        <v>66</v>
      </c>
      <c r="D36" s="25">
        <v>400</v>
      </c>
      <c r="E36" s="22">
        <v>450</v>
      </c>
      <c r="F36" s="22">
        <f>E36*D36</f>
        <v>180000</v>
      </c>
      <c r="G36" s="16" t="s">
        <v>18</v>
      </c>
      <c r="H36" s="38"/>
      <c r="I36" s="38"/>
      <c r="J36" s="38"/>
      <c r="K36" s="38"/>
      <c r="L36" s="38"/>
      <c r="M36" s="38"/>
      <c r="N36" s="38"/>
      <c r="O36" s="25">
        <v>400</v>
      </c>
      <c r="P36" s="38"/>
      <c r="Q36" s="152"/>
      <c r="R36" s="38"/>
      <c r="S36" s="39"/>
      <c r="U36" s="51"/>
    </row>
    <row r="37" spans="1:21" x14ac:dyDescent="0.25">
      <c r="A37" s="48">
        <v>4</v>
      </c>
      <c r="B37" s="6" t="s">
        <v>209</v>
      </c>
      <c r="C37" s="6" t="s">
        <v>66</v>
      </c>
      <c r="D37" s="25">
        <v>400</v>
      </c>
      <c r="E37" s="22">
        <v>450</v>
      </c>
      <c r="F37" s="22">
        <f t="shared" ref="F37:F42" si="2">E37*D37</f>
        <v>180000</v>
      </c>
      <c r="G37" s="16" t="s">
        <v>18</v>
      </c>
      <c r="H37" s="38"/>
      <c r="I37" s="38"/>
      <c r="J37" s="38"/>
      <c r="K37" s="38"/>
      <c r="L37" s="38"/>
      <c r="M37" s="38"/>
      <c r="N37" s="38"/>
      <c r="O37" s="25">
        <v>400</v>
      </c>
      <c r="P37" s="38"/>
      <c r="Q37" s="152"/>
      <c r="R37" s="38"/>
      <c r="S37" s="39"/>
      <c r="U37" s="51"/>
    </row>
    <row r="38" spans="1:21" x14ac:dyDescent="0.25">
      <c r="A38" s="48">
        <v>5</v>
      </c>
      <c r="B38" s="6" t="s">
        <v>210</v>
      </c>
      <c r="C38" s="6" t="s">
        <v>66</v>
      </c>
      <c r="D38" s="25">
        <v>500</v>
      </c>
      <c r="E38" s="22">
        <v>450</v>
      </c>
      <c r="F38" s="22">
        <f t="shared" si="2"/>
        <v>225000</v>
      </c>
      <c r="G38" s="16" t="s">
        <v>18</v>
      </c>
      <c r="H38" s="38"/>
      <c r="I38" s="38"/>
      <c r="J38" s="38"/>
      <c r="K38" s="38"/>
      <c r="L38" s="38"/>
      <c r="M38" s="38"/>
      <c r="N38" s="38"/>
      <c r="O38" s="25">
        <v>500</v>
      </c>
      <c r="P38" s="38"/>
      <c r="Q38" s="152"/>
      <c r="R38" s="38"/>
      <c r="S38" s="39"/>
      <c r="U38" s="51"/>
    </row>
    <row r="39" spans="1:21" x14ac:dyDescent="0.25">
      <c r="A39" s="48">
        <v>6</v>
      </c>
      <c r="B39" s="6" t="s">
        <v>211</v>
      </c>
      <c r="C39" s="6" t="s">
        <v>66</v>
      </c>
      <c r="D39" s="25">
        <v>500</v>
      </c>
      <c r="E39" s="22">
        <v>450</v>
      </c>
      <c r="F39" s="22">
        <f t="shared" si="2"/>
        <v>225000</v>
      </c>
      <c r="G39" s="16" t="s">
        <v>18</v>
      </c>
      <c r="H39" s="38"/>
      <c r="I39" s="38"/>
      <c r="J39" s="38"/>
      <c r="K39" s="38"/>
      <c r="L39" s="38"/>
      <c r="M39" s="38"/>
      <c r="N39" s="38"/>
      <c r="O39" s="25">
        <v>500</v>
      </c>
      <c r="P39" s="38"/>
      <c r="Q39" s="152"/>
      <c r="R39" s="38"/>
      <c r="S39" s="39"/>
    </row>
    <row r="40" spans="1:21" x14ac:dyDescent="0.25">
      <c r="A40" s="48">
        <v>7</v>
      </c>
      <c r="B40" s="6" t="s">
        <v>212</v>
      </c>
      <c r="C40" s="6" t="s">
        <v>66</v>
      </c>
      <c r="D40" s="25">
        <v>400</v>
      </c>
      <c r="E40" s="22">
        <v>450</v>
      </c>
      <c r="F40" s="22">
        <f t="shared" si="2"/>
        <v>180000</v>
      </c>
      <c r="G40" s="16" t="s">
        <v>18</v>
      </c>
      <c r="H40" s="38"/>
      <c r="I40" s="38"/>
      <c r="J40" s="38"/>
      <c r="K40" s="38"/>
      <c r="L40" s="38"/>
      <c r="M40" s="38"/>
      <c r="N40" s="38"/>
      <c r="O40" s="25">
        <v>400</v>
      </c>
      <c r="P40" s="38"/>
      <c r="Q40" s="152"/>
      <c r="R40" s="38"/>
      <c r="S40" s="39"/>
    </row>
    <row r="41" spans="1:21" s="8" customFormat="1" ht="26.4" x14ac:dyDescent="0.25">
      <c r="A41" s="48">
        <v>8</v>
      </c>
      <c r="B41" s="35" t="s">
        <v>213</v>
      </c>
      <c r="C41" s="35" t="s">
        <v>17</v>
      </c>
      <c r="D41" s="25">
        <v>3</v>
      </c>
      <c r="E41" s="27">
        <v>7500</v>
      </c>
      <c r="F41" s="22">
        <f t="shared" si="2"/>
        <v>22500</v>
      </c>
      <c r="G41" s="16" t="s">
        <v>18</v>
      </c>
      <c r="H41" s="38"/>
      <c r="I41" s="38"/>
      <c r="J41" s="38"/>
      <c r="K41" s="38"/>
      <c r="L41" s="38"/>
      <c r="M41" s="38"/>
      <c r="N41" s="38"/>
      <c r="O41" s="25">
        <v>3</v>
      </c>
      <c r="P41" s="38"/>
      <c r="Q41" s="143"/>
      <c r="R41" s="38"/>
      <c r="S41" s="39"/>
    </row>
    <row r="42" spans="1:21" ht="12.75" customHeight="1" x14ac:dyDescent="0.25">
      <c r="A42" s="48">
        <v>9</v>
      </c>
      <c r="B42" s="35" t="s">
        <v>85</v>
      </c>
      <c r="C42" s="35" t="s">
        <v>66</v>
      </c>
      <c r="D42" s="25">
        <v>25</v>
      </c>
      <c r="E42" s="27">
        <v>2000</v>
      </c>
      <c r="F42" s="22">
        <f t="shared" si="2"/>
        <v>50000</v>
      </c>
      <c r="G42" s="16" t="s">
        <v>18</v>
      </c>
      <c r="H42" s="38"/>
      <c r="I42" s="38"/>
      <c r="J42" s="38"/>
      <c r="K42" s="38"/>
      <c r="L42" s="38"/>
      <c r="M42" s="38"/>
      <c r="N42" s="38"/>
      <c r="O42" s="25">
        <v>25</v>
      </c>
      <c r="P42" s="38"/>
      <c r="Q42" s="152"/>
      <c r="R42" s="38"/>
      <c r="S42" s="39"/>
    </row>
    <row r="43" spans="1:21" ht="13.8" thickBot="1" x14ac:dyDescent="0.3">
      <c r="A43" s="269" t="s">
        <v>57</v>
      </c>
      <c r="B43" s="270"/>
      <c r="C43" s="270"/>
      <c r="D43" s="270"/>
      <c r="E43" s="270"/>
      <c r="F43" s="46">
        <f>SUM(F34:F42)</f>
        <v>1076500</v>
      </c>
      <c r="G43" s="271"/>
      <c r="H43" s="271"/>
      <c r="I43" s="271"/>
      <c r="J43" s="271"/>
      <c r="K43" s="271"/>
      <c r="L43" s="271"/>
      <c r="M43" s="271"/>
      <c r="N43" s="271"/>
      <c r="O43" s="271"/>
      <c r="P43" s="271"/>
      <c r="Q43" s="271"/>
      <c r="R43" s="271"/>
      <c r="S43" s="272"/>
    </row>
    <row r="44" spans="1:21" ht="13.8" x14ac:dyDescent="0.25">
      <c r="A44" s="266" t="s">
        <v>152</v>
      </c>
      <c r="B44" s="267"/>
      <c r="C44" s="267"/>
      <c r="D44" s="267"/>
      <c r="E44" s="267"/>
      <c r="F44" s="267"/>
      <c r="G44" s="267"/>
      <c r="H44" s="267"/>
      <c r="I44" s="267"/>
      <c r="J44" s="267"/>
      <c r="K44" s="267"/>
      <c r="L44" s="267"/>
      <c r="M44" s="267"/>
      <c r="N44" s="267"/>
      <c r="O44" s="267"/>
      <c r="P44" s="267"/>
      <c r="Q44" s="267"/>
      <c r="R44" s="267"/>
      <c r="S44" s="268"/>
    </row>
    <row r="45" spans="1:21" ht="13.95" customHeight="1" x14ac:dyDescent="0.25">
      <c r="A45" s="48">
        <v>1</v>
      </c>
      <c r="B45" s="143" t="s">
        <v>153</v>
      </c>
      <c r="C45" s="6" t="s">
        <v>17</v>
      </c>
      <c r="D45" s="25">
        <v>13</v>
      </c>
      <c r="E45" s="27">
        <v>5000</v>
      </c>
      <c r="F45" s="7">
        <f t="shared" ref="F45:F54" si="3">E45*D45</f>
        <v>65000</v>
      </c>
      <c r="G45" s="16" t="s">
        <v>18</v>
      </c>
      <c r="H45" s="38"/>
      <c r="I45" s="38"/>
      <c r="J45" s="38"/>
      <c r="K45" s="38"/>
      <c r="L45" s="38"/>
      <c r="M45" s="38"/>
      <c r="N45" s="38"/>
      <c r="O45" s="25">
        <v>13</v>
      </c>
      <c r="P45" s="38"/>
      <c r="Q45" s="152"/>
      <c r="R45" s="38"/>
      <c r="S45" s="39"/>
    </row>
    <row r="46" spans="1:21" x14ac:dyDescent="0.25">
      <c r="A46" s="48">
        <v>2</v>
      </c>
      <c r="B46" s="143" t="s">
        <v>154</v>
      </c>
      <c r="C46" s="6" t="s">
        <v>66</v>
      </c>
      <c r="D46" s="25">
        <v>25</v>
      </c>
      <c r="E46" s="27">
        <v>450</v>
      </c>
      <c r="F46" s="7">
        <f t="shared" si="3"/>
        <v>11250</v>
      </c>
      <c r="G46" s="16" t="s">
        <v>18</v>
      </c>
      <c r="H46" s="38"/>
      <c r="I46" s="38"/>
      <c r="J46" s="38"/>
      <c r="K46" s="38"/>
      <c r="L46" s="38"/>
      <c r="M46" s="38"/>
      <c r="N46" s="38"/>
      <c r="O46" s="25">
        <v>25</v>
      </c>
      <c r="P46" s="38"/>
      <c r="Q46" s="152"/>
      <c r="R46" s="38"/>
      <c r="S46" s="39"/>
    </row>
    <row r="47" spans="1:21" x14ac:dyDescent="0.25">
      <c r="A47" s="48">
        <v>3</v>
      </c>
      <c r="B47" s="143" t="s">
        <v>155</v>
      </c>
      <c r="C47" s="6" t="s">
        <v>66</v>
      </c>
      <c r="D47" s="25">
        <v>25</v>
      </c>
      <c r="E47" s="27">
        <v>750</v>
      </c>
      <c r="F47" s="7">
        <f t="shared" si="3"/>
        <v>18750</v>
      </c>
      <c r="G47" s="16" t="s">
        <v>18</v>
      </c>
      <c r="H47" s="38"/>
      <c r="I47" s="38"/>
      <c r="J47" s="38"/>
      <c r="K47" s="38"/>
      <c r="L47" s="38"/>
      <c r="M47" s="38"/>
      <c r="N47" s="38"/>
      <c r="O47" s="25">
        <v>25</v>
      </c>
      <c r="P47" s="38"/>
      <c r="Q47" s="152"/>
      <c r="R47" s="38"/>
      <c r="S47" s="39"/>
    </row>
    <row r="48" spans="1:21" x14ac:dyDescent="0.25">
      <c r="A48" s="48">
        <v>4</v>
      </c>
      <c r="B48" s="143" t="s">
        <v>156</v>
      </c>
      <c r="C48" s="6" t="s">
        <v>66</v>
      </c>
      <c r="D48" s="25">
        <v>25</v>
      </c>
      <c r="E48" s="27">
        <v>750</v>
      </c>
      <c r="F48" s="7">
        <f t="shared" si="3"/>
        <v>18750</v>
      </c>
      <c r="G48" s="16" t="s">
        <v>18</v>
      </c>
      <c r="H48" s="38"/>
      <c r="I48" s="38"/>
      <c r="J48" s="38"/>
      <c r="K48" s="38"/>
      <c r="L48" s="38"/>
      <c r="M48" s="38"/>
      <c r="N48" s="38"/>
      <c r="O48" s="25">
        <v>25</v>
      </c>
      <c r="P48" s="38"/>
      <c r="Q48" s="152"/>
      <c r="R48" s="38"/>
      <c r="S48" s="39"/>
    </row>
    <row r="49" spans="1:21" x14ac:dyDescent="0.25">
      <c r="A49" s="48">
        <v>5</v>
      </c>
      <c r="B49" s="143" t="s">
        <v>157</v>
      </c>
      <c r="C49" s="6" t="s">
        <v>66</v>
      </c>
      <c r="D49" s="25">
        <v>25</v>
      </c>
      <c r="E49" s="27">
        <v>750</v>
      </c>
      <c r="F49" s="7">
        <f t="shared" si="3"/>
        <v>18750</v>
      </c>
      <c r="G49" s="16" t="s">
        <v>18</v>
      </c>
      <c r="H49" s="38"/>
      <c r="I49" s="38"/>
      <c r="J49" s="38"/>
      <c r="K49" s="38"/>
      <c r="L49" s="38"/>
      <c r="M49" s="38"/>
      <c r="N49" s="38"/>
      <c r="O49" s="25">
        <v>25</v>
      </c>
      <c r="P49" s="38"/>
      <c r="Q49" s="152"/>
      <c r="R49" s="38"/>
      <c r="S49" s="39"/>
    </row>
    <row r="50" spans="1:21" x14ac:dyDescent="0.25">
      <c r="A50" s="48">
        <v>6</v>
      </c>
      <c r="B50" s="143" t="s">
        <v>158</v>
      </c>
      <c r="C50" s="6" t="s">
        <v>66</v>
      </c>
      <c r="D50" s="25">
        <v>25</v>
      </c>
      <c r="E50" s="27">
        <v>450</v>
      </c>
      <c r="F50" s="7">
        <f t="shared" si="3"/>
        <v>11250</v>
      </c>
      <c r="G50" s="16" t="s">
        <v>18</v>
      </c>
      <c r="H50" s="38"/>
      <c r="I50" s="38"/>
      <c r="J50" s="38"/>
      <c r="K50" s="38"/>
      <c r="L50" s="38"/>
      <c r="M50" s="38"/>
      <c r="N50" s="38"/>
      <c r="O50" s="25">
        <v>25</v>
      </c>
      <c r="P50" s="38"/>
      <c r="Q50" s="152"/>
      <c r="R50" s="38"/>
      <c r="S50" s="39"/>
    </row>
    <row r="51" spans="1:21" x14ac:dyDescent="0.25">
      <c r="A51" s="48">
        <v>7</v>
      </c>
      <c r="B51" s="143" t="s">
        <v>214</v>
      </c>
      <c r="C51" s="6" t="s">
        <v>66</v>
      </c>
      <c r="D51" s="25">
        <v>25</v>
      </c>
      <c r="E51" s="27">
        <v>25000</v>
      </c>
      <c r="F51" s="7">
        <f t="shared" si="3"/>
        <v>625000</v>
      </c>
      <c r="G51" s="16" t="s">
        <v>18</v>
      </c>
      <c r="H51" s="38"/>
      <c r="I51" s="38"/>
      <c r="J51" s="38"/>
      <c r="K51" s="38"/>
      <c r="L51" s="38"/>
      <c r="M51" s="38"/>
      <c r="N51" s="38"/>
      <c r="O51" s="25">
        <v>25</v>
      </c>
      <c r="P51" s="38"/>
      <c r="Q51" s="152"/>
      <c r="R51" s="38"/>
      <c r="S51" s="39"/>
    </row>
    <row r="52" spans="1:21" x14ac:dyDescent="0.25">
      <c r="A52" s="48">
        <v>8</v>
      </c>
      <c r="B52" s="143" t="s">
        <v>159</v>
      </c>
      <c r="C52" s="6" t="s">
        <v>17</v>
      </c>
      <c r="D52" s="25">
        <v>3</v>
      </c>
      <c r="E52" s="27">
        <v>12000</v>
      </c>
      <c r="F52" s="7">
        <f t="shared" si="3"/>
        <v>36000</v>
      </c>
      <c r="G52" s="16" t="s">
        <v>18</v>
      </c>
      <c r="H52" s="38"/>
      <c r="I52" s="38"/>
      <c r="J52" s="38"/>
      <c r="K52" s="38"/>
      <c r="L52" s="38"/>
      <c r="M52" s="38"/>
      <c r="N52" s="38"/>
      <c r="O52" s="25">
        <v>3</v>
      </c>
      <c r="P52" s="38"/>
      <c r="Q52" s="152"/>
      <c r="R52" s="38"/>
      <c r="S52" s="39"/>
    </row>
    <row r="53" spans="1:21" ht="15.6" customHeight="1" x14ac:dyDescent="0.25">
      <c r="A53" s="48">
        <v>9</v>
      </c>
      <c r="B53" s="35" t="s">
        <v>160</v>
      </c>
      <c r="C53" s="35" t="s">
        <v>17</v>
      </c>
      <c r="D53" s="25">
        <v>3</v>
      </c>
      <c r="E53" s="27">
        <v>12000</v>
      </c>
      <c r="F53" s="22">
        <f t="shared" si="3"/>
        <v>36000</v>
      </c>
      <c r="G53" s="16" t="s">
        <v>18</v>
      </c>
      <c r="H53" s="38"/>
      <c r="I53" s="38"/>
      <c r="J53" s="38"/>
      <c r="K53" s="38"/>
      <c r="L53" s="38"/>
      <c r="M53" s="38"/>
      <c r="N53" s="38"/>
      <c r="O53" s="25">
        <v>3</v>
      </c>
      <c r="P53" s="38"/>
      <c r="Q53" s="152"/>
      <c r="R53" s="38"/>
      <c r="S53" s="39"/>
    </row>
    <row r="54" spans="1:21" ht="26.4" x14ac:dyDescent="0.25">
      <c r="A54" s="48">
        <v>10</v>
      </c>
      <c r="B54" s="35" t="s">
        <v>161</v>
      </c>
      <c r="C54" s="35" t="s">
        <v>17</v>
      </c>
      <c r="D54" s="25">
        <v>3</v>
      </c>
      <c r="E54" s="27">
        <v>3500</v>
      </c>
      <c r="F54" s="22">
        <f t="shared" si="3"/>
        <v>10500</v>
      </c>
      <c r="G54" s="16" t="s">
        <v>18</v>
      </c>
      <c r="H54" s="38"/>
      <c r="I54" s="38"/>
      <c r="J54" s="38"/>
      <c r="K54" s="38"/>
      <c r="L54" s="38"/>
      <c r="M54" s="38"/>
      <c r="N54" s="38"/>
      <c r="O54" s="25">
        <v>3</v>
      </c>
      <c r="P54" s="38"/>
      <c r="Q54" s="152"/>
      <c r="R54" s="38"/>
      <c r="S54" s="39"/>
    </row>
    <row r="55" spans="1:21" ht="13.8" thickBot="1" x14ac:dyDescent="0.3">
      <c r="A55" s="269" t="s">
        <v>57</v>
      </c>
      <c r="B55" s="270"/>
      <c r="C55" s="270"/>
      <c r="D55" s="270"/>
      <c r="E55" s="270"/>
      <c r="F55" s="46">
        <f>SUM(F45:F54)</f>
        <v>851250</v>
      </c>
      <c r="G55" s="271"/>
      <c r="H55" s="271"/>
      <c r="I55" s="271"/>
      <c r="J55" s="271"/>
      <c r="K55" s="271"/>
      <c r="L55" s="271"/>
      <c r="M55" s="271"/>
      <c r="N55" s="271"/>
      <c r="O55" s="271"/>
      <c r="P55" s="271"/>
      <c r="Q55" s="271"/>
      <c r="R55" s="271"/>
      <c r="S55" s="272"/>
    </row>
    <row r="56" spans="1:21" ht="13.8" x14ac:dyDescent="0.25">
      <c r="A56" s="266" t="s">
        <v>184</v>
      </c>
      <c r="B56" s="267"/>
      <c r="C56" s="267"/>
      <c r="D56" s="267"/>
      <c r="E56" s="267"/>
      <c r="F56" s="267"/>
      <c r="G56" s="267"/>
      <c r="H56" s="267"/>
      <c r="I56" s="267"/>
      <c r="J56" s="267"/>
      <c r="K56" s="267"/>
      <c r="L56" s="267"/>
      <c r="M56" s="267"/>
      <c r="N56" s="267"/>
      <c r="O56" s="267"/>
      <c r="P56" s="267"/>
      <c r="Q56" s="267"/>
      <c r="R56" s="267"/>
      <c r="S56" s="268"/>
    </row>
    <row r="57" spans="1:21" x14ac:dyDescent="0.25">
      <c r="A57" s="48">
        <v>1</v>
      </c>
      <c r="B57" s="8" t="s">
        <v>185</v>
      </c>
      <c r="C57" s="6" t="s">
        <v>66</v>
      </c>
      <c r="D57" s="25">
        <v>100</v>
      </c>
      <c r="E57" s="27">
        <v>2000</v>
      </c>
      <c r="F57" s="7">
        <f>E57*D57</f>
        <v>200000</v>
      </c>
      <c r="G57" s="16" t="s">
        <v>18</v>
      </c>
      <c r="H57" s="38"/>
      <c r="I57" s="38"/>
      <c r="J57" s="25">
        <v>100</v>
      </c>
      <c r="K57" s="38"/>
      <c r="L57" s="38"/>
      <c r="M57" s="38"/>
      <c r="N57" s="38"/>
      <c r="O57" s="38"/>
      <c r="P57" s="38"/>
      <c r="Q57" s="38"/>
      <c r="R57" s="152"/>
      <c r="S57" s="39"/>
      <c r="U57" s="51"/>
    </row>
    <row r="58" spans="1:21" x14ac:dyDescent="0.25">
      <c r="A58" s="48">
        <v>2</v>
      </c>
      <c r="B58" s="6" t="s">
        <v>67</v>
      </c>
      <c r="C58" s="6" t="s">
        <v>66</v>
      </c>
      <c r="D58" s="25">
        <v>100</v>
      </c>
      <c r="E58" s="22">
        <v>450</v>
      </c>
      <c r="F58" s="22">
        <f>E58*D58</f>
        <v>45000</v>
      </c>
      <c r="G58" s="16" t="s">
        <v>18</v>
      </c>
      <c r="H58" s="38"/>
      <c r="I58" s="38"/>
      <c r="J58" s="25">
        <v>100</v>
      </c>
      <c r="K58" s="38"/>
      <c r="L58" s="38"/>
      <c r="M58" s="38"/>
      <c r="N58" s="38"/>
      <c r="O58" s="38"/>
      <c r="P58" s="38"/>
      <c r="Q58" s="38"/>
      <c r="R58" s="152"/>
      <c r="S58" s="39"/>
      <c r="U58" s="51"/>
    </row>
    <row r="59" spans="1:21" x14ac:dyDescent="0.25">
      <c r="A59" s="48">
        <v>3</v>
      </c>
      <c r="B59" s="6" t="s">
        <v>68</v>
      </c>
      <c r="C59" s="6" t="s">
        <v>66</v>
      </c>
      <c r="D59" s="25">
        <v>100</v>
      </c>
      <c r="E59" s="22">
        <v>450</v>
      </c>
      <c r="F59" s="22">
        <f>E59*D59</f>
        <v>45000</v>
      </c>
      <c r="G59" s="16" t="s">
        <v>18</v>
      </c>
      <c r="H59" s="38"/>
      <c r="I59" s="38"/>
      <c r="J59" s="25">
        <v>100</v>
      </c>
      <c r="K59" s="38"/>
      <c r="L59" s="38"/>
      <c r="M59" s="38"/>
      <c r="N59" s="38"/>
      <c r="O59" s="38"/>
      <c r="P59" s="38"/>
      <c r="Q59" s="38"/>
      <c r="R59" s="152"/>
      <c r="S59" s="39"/>
      <c r="U59" s="51"/>
    </row>
    <row r="60" spans="1:21" x14ac:dyDescent="0.25">
      <c r="A60" s="48">
        <v>4</v>
      </c>
      <c r="B60" s="6" t="s">
        <v>69</v>
      </c>
      <c r="C60" s="6" t="s">
        <v>66</v>
      </c>
      <c r="D60" s="25">
        <v>100</v>
      </c>
      <c r="E60" s="22">
        <v>450</v>
      </c>
      <c r="F60" s="22">
        <f>E60*D60</f>
        <v>45000</v>
      </c>
      <c r="G60" s="16" t="s">
        <v>18</v>
      </c>
      <c r="H60" s="38"/>
      <c r="I60" s="38"/>
      <c r="J60" s="25">
        <v>100</v>
      </c>
      <c r="K60" s="38"/>
      <c r="L60" s="38"/>
      <c r="M60" s="38"/>
      <c r="N60" s="38"/>
      <c r="O60" s="38"/>
      <c r="P60" s="38"/>
      <c r="Q60" s="38"/>
      <c r="R60" s="152"/>
      <c r="S60" s="39"/>
      <c r="U60" s="51"/>
    </row>
    <row r="61" spans="1:21" x14ac:dyDescent="0.25">
      <c r="A61" s="48">
        <v>5</v>
      </c>
      <c r="B61" s="35" t="s">
        <v>186</v>
      </c>
      <c r="C61" s="35" t="s">
        <v>8</v>
      </c>
      <c r="D61" s="25">
        <v>1</v>
      </c>
      <c r="E61" s="27">
        <v>2000</v>
      </c>
      <c r="F61" s="22">
        <f>E61*D61</f>
        <v>2000</v>
      </c>
      <c r="G61" s="16" t="s">
        <v>18</v>
      </c>
      <c r="H61" s="38"/>
      <c r="I61" s="38"/>
      <c r="J61" s="25">
        <v>1</v>
      </c>
      <c r="K61" s="38"/>
      <c r="L61" s="38"/>
      <c r="M61" s="38"/>
      <c r="N61" s="38"/>
      <c r="O61" s="38"/>
      <c r="P61" s="38"/>
      <c r="Q61" s="38"/>
      <c r="R61" s="152"/>
      <c r="S61" s="39"/>
    </row>
    <row r="62" spans="1:21" ht="13.8" thickBot="1" x14ac:dyDescent="0.3">
      <c r="A62" s="269" t="s">
        <v>57</v>
      </c>
      <c r="B62" s="270"/>
      <c r="C62" s="270"/>
      <c r="D62" s="270"/>
      <c r="E62" s="270"/>
      <c r="F62" s="46">
        <f>SUM(F57:F61)</f>
        <v>337000</v>
      </c>
      <c r="G62" s="271"/>
      <c r="H62" s="271"/>
      <c r="I62" s="271"/>
      <c r="J62" s="271"/>
      <c r="K62" s="271"/>
      <c r="L62" s="271"/>
      <c r="M62" s="271"/>
      <c r="N62" s="271"/>
      <c r="O62" s="271"/>
      <c r="P62" s="271"/>
      <c r="Q62" s="271"/>
      <c r="R62" s="271"/>
      <c r="S62" s="272"/>
    </row>
    <row r="63" spans="1:21" ht="15.6" thickBot="1" x14ac:dyDescent="0.3">
      <c r="A63" s="220" t="s">
        <v>46</v>
      </c>
      <c r="B63" s="221"/>
      <c r="C63" s="221"/>
      <c r="D63" s="221"/>
      <c r="E63" s="222"/>
      <c r="F63" s="47">
        <f>SUM(F32,F43,F55,F62)</f>
        <v>2472900</v>
      </c>
      <c r="G63" s="223"/>
      <c r="H63" s="224"/>
      <c r="I63" s="224"/>
      <c r="J63" s="224"/>
      <c r="K63" s="224"/>
      <c r="L63" s="224"/>
      <c r="M63" s="224"/>
      <c r="N63" s="224"/>
      <c r="O63" s="224"/>
      <c r="P63" s="224"/>
      <c r="Q63" s="224"/>
      <c r="R63" s="224"/>
      <c r="S63" s="225"/>
    </row>
    <row r="64" spans="1:21" x14ac:dyDescent="0.25">
      <c r="A64" s="227" t="s">
        <v>47</v>
      </c>
      <c r="B64" s="227"/>
      <c r="C64" s="227"/>
      <c r="D64" s="227"/>
      <c r="E64" s="227"/>
      <c r="F64" s="227"/>
      <c r="G64" s="227"/>
      <c r="H64" s="227"/>
      <c r="I64" s="227"/>
      <c r="J64" s="227"/>
      <c r="K64" s="227"/>
      <c r="L64" s="227"/>
      <c r="M64" s="227"/>
      <c r="N64" s="227"/>
      <c r="O64" s="227"/>
      <c r="P64" s="227"/>
      <c r="Q64" s="227"/>
      <c r="R64" s="227"/>
      <c r="S64" s="227"/>
    </row>
    <row r="65" spans="1:19" x14ac:dyDescent="0.25">
      <c r="A65" s="183" t="s">
        <v>48</v>
      </c>
      <c r="B65" s="183"/>
      <c r="C65" s="183" t="s">
        <v>49</v>
      </c>
      <c r="D65" s="183"/>
      <c r="E65" s="183"/>
      <c r="F65" s="183"/>
      <c r="G65" s="183"/>
      <c r="H65" s="183"/>
      <c r="I65" s="183"/>
      <c r="J65" s="183"/>
      <c r="K65" s="183"/>
      <c r="L65" s="183" t="s">
        <v>50</v>
      </c>
      <c r="M65" s="183"/>
      <c r="N65" s="183"/>
      <c r="O65" s="183"/>
      <c r="P65" s="183"/>
      <c r="Q65" s="183"/>
      <c r="R65" s="183"/>
      <c r="S65" s="183"/>
    </row>
    <row r="66" spans="1:19" x14ac:dyDescent="0.25">
      <c r="A66" s="183"/>
      <c r="B66" s="183"/>
      <c r="C66" s="183"/>
      <c r="D66" s="183"/>
      <c r="E66" s="183"/>
      <c r="F66" s="183"/>
      <c r="G66" s="183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</row>
    <row r="67" spans="1:19" ht="13.8" x14ac:dyDescent="0.25">
      <c r="A67" s="2"/>
      <c r="B67" s="8"/>
      <c r="C67" s="181"/>
      <c r="D67" s="181"/>
      <c r="E67" s="8"/>
      <c r="F67" s="8"/>
      <c r="G67" s="12"/>
      <c r="H67" s="12"/>
      <c r="I67" s="12"/>
      <c r="J67" s="12"/>
      <c r="K67" s="12"/>
      <c r="L67" s="12"/>
      <c r="M67" s="12"/>
      <c r="N67" s="8"/>
      <c r="O67" s="8"/>
      <c r="P67" s="8"/>
      <c r="Q67" s="8"/>
      <c r="R67" s="4"/>
      <c r="S67" s="12"/>
    </row>
    <row r="68" spans="1:19" ht="13.8" x14ac:dyDescent="0.25">
      <c r="A68" s="8"/>
      <c r="C68" s="8"/>
      <c r="D68" s="8"/>
      <c r="G68" s="3"/>
      <c r="H68" s="8"/>
      <c r="I68" s="8"/>
      <c r="J68" s="8"/>
      <c r="K68" s="8"/>
      <c r="L68" s="8"/>
      <c r="S68" s="8"/>
    </row>
    <row r="69" spans="1:19" x14ac:dyDescent="0.25">
      <c r="A69" s="8"/>
      <c r="C69" s="8"/>
      <c r="D69" s="8"/>
      <c r="G69" s="8"/>
      <c r="H69" s="8"/>
      <c r="I69" s="8"/>
      <c r="J69" s="8"/>
      <c r="K69" s="8"/>
      <c r="L69" s="8"/>
      <c r="S69" s="8"/>
    </row>
    <row r="70" spans="1:19" x14ac:dyDescent="0.25">
      <c r="B70" s="5" t="s">
        <v>56</v>
      </c>
      <c r="E70" s="180" t="s">
        <v>148</v>
      </c>
      <c r="F70" s="180"/>
      <c r="M70" s="184" t="s">
        <v>19</v>
      </c>
      <c r="N70" s="184"/>
      <c r="O70" s="184"/>
      <c r="P70" s="184"/>
      <c r="Q70" s="184"/>
      <c r="R70" s="184"/>
    </row>
    <row r="71" spans="1:19" x14ac:dyDescent="0.25">
      <c r="B71" s="13" t="s">
        <v>28</v>
      </c>
      <c r="E71" s="179" t="s">
        <v>101</v>
      </c>
      <c r="F71" s="180"/>
      <c r="M71" s="8"/>
      <c r="N71" s="179" t="s">
        <v>3</v>
      </c>
      <c r="O71" s="179"/>
      <c r="P71" s="179"/>
      <c r="Q71" s="179"/>
      <c r="R71" s="8"/>
    </row>
  </sheetData>
  <mergeCells count="35">
    <mergeCell ref="A10:S10"/>
    <mergeCell ref="A32:E32"/>
    <mergeCell ref="G32:S32"/>
    <mergeCell ref="A33:S33"/>
    <mergeCell ref="A43:E43"/>
    <mergeCell ref="G43:S43"/>
    <mergeCell ref="A1:S1"/>
    <mergeCell ref="E71:F71"/>
    <mergeCell ref="N71:Q71"/>
    <mergeCell ref="A64:S64"/>
    <mergeCell ref="A65:B66"/>
    <mergeCell ref="C65:K66"/>
    <mergeCell ref="L65:S66"/>
    <mergeCell ref="C67:D67"/>
    <mergeCell ref="E70:F70"/>
    <mergeCell ref="M70:R70"/>
    <mergeCell ref="A63:E63"/>
    <mergeCell ref="G63:S63"/>
    <mergeCell ref="A2:S2"/>
    <mergeCell ref="A3:S3"/>
    <mergeCell ref="A4:S4"/>
    <mergeCell ref="A6:S6"/>
    <mergeCell ref="G8:G9"/>
    <mergeCell ref="H8:S8"/>
    <mergeCell ref="A8:A9"/>
    <mergeCell ref="B8:B9"/>
    <mergeCell ref="C8:C9"/>
    <mergeCell ref="E8:E9"/>
    <mergeCell ref="F8:F9"/>
    <mergeCell ref="A44:S44"/>
    <mergeCell ref="A55:E55"/>
    <mergeCell ref="G55:S55"/>
    <mergeCell ref="A56:S56"/>
    <mergeCell ref="A62:E62"/>
    <mergeCell ref="G62:S62"/>
  </mergeCells>
  <pageMargins left="0.25" right="0.25" top="0.75" bottom="0.75" header="0.3" footer="0.3"/>
  <pageSetup paperSize="14" scale="8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50"/>
  <sheetViews>
    <sheetView topLeftCell="B6" zoomScaleNormal="100" workbookViewId="0">
      <selection activeCell="A17" sqref="A17:S17"/>
    </sheetView>
  </sheetViews>
  <sheetFormatPr defaultRowHeight="13.2" x14ac:dyDescent="0.25"/>
  <cols>
    <col min="1" max="1" width="5.44140625" customWidth="1"/>
    <col min="2" max="2" width="44.77734375" bestFit="1" customWidth="1"/>
    <col min="3" max="3" width="18.44140625" bestFit="1" customWidth="1"/>
    <col min="4" max="4" width="5.6640625" customWidth="1"/>
    <col min="5" max="5" width="11.77734375" bestFit="1" customWidth="1"/>
    <col min="6" max="6" width="22" bestFit="1" customWidth="1"/>
    <col min="7" max="7" width="24" bestFit="1" customWidth="1"/>
    <col min="8" max="8" width="5.77734375" customWidth="1"/>
    <col min="9" max="9" width="6" customWidth="1"/>
    <col min="10" max="10" width="6.33203125" customWidth="1"/>
    <col min="11" max="11" width="5.77734375" customWidth="1"/>
    <col min="12" max="12" width="6.6640625" customWidth="1"/>
    <col min="13" max="13" width="5.77734375" customWidth="1"/>
    <col min="14" max="14" width="6.6640625" customWidth="1"/>
    <col min="15" max="16" width="6.109375" customWidth="1"/>
    <col min="17" max="17" width="5.77734375" customWidth="1"/>
    <col min="18" max="18" width="6.44140625" customWidth="1"/>
    <col min="19" max="19" width="6.109375" customWidth="1"/>
  </cols>
  <sheetData>
    <row r="1" spans="1:19" x14ac:dyDescent="0.25">
      <c r="A1" s="189" t="s">
        <v>72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1:19" ht="20.399999999999999" x14ac:dyDescent="0.25">
      <c r="A2" s="185" t="s">
        <v>162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19" ht="14.4" x14ac:dyDescent="0.25">
      <c r="A3" s="186" t="s">
        <v>0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1:19" ht="13.8" x14ac:dyDescent="0.25">
      <c r="A4" s="187" t="s">
        <v>4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</row>
    <row r="5" spans="1:19" ht="13.8" x14ac:dyDescent="0.25">
      <c r="A5" s="50"/>
      <c r="B5" s="50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1:19" ht="13.8" x14ac:dyDescent="0.25">
      <c r="A6" s="210" t="s">
        <v>52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</row>
    <row r="7" spans="1:19" ht="13.8" thickBot="1" x14ac:dyDescent="0.3"/>
    <row r="8" spans="1:19" ht="15" x14ac:dyDescent="0.25">
      <c r="A8" s="204" t="s">
        <v>6</v>
      </c>
      <c r="B8" s="206" t="s">
        <v>31</v>
      </c>
      <c r="C8" s="208" t="s">
        <v>30</v>
      </c>
      <c r="D8" s="52" t="s">
        <v>32</v>
      </c>
      <c r="E8" s="208" t="s">
        <v>33</v>
      </c>
      <c r="F8" s="208" t="s">
        <v>53</v>
      </c>
      <c r="G8" s="196" t="s">
        <v>34</v>
      </c>
      <c r="H8" s="198" t="s">
        <v>1</v>
      </c>
      <c r="I8" s="199"/>
      <c r="J8" s="199"/>
      <c r="K8" s="199"/>
      <c r="L8" s="199"/>
      <c r="M8" s="199"/>
      <c r="N8" s="199"/>
      <c r="O8" s="199"/>
      <c r="P8" s="199"/>
      <c r="Q8" s="199"/>
      <c r="R8" s="199"/>
      <c r="S8" s="200"/>
    </row>
    <row r="9" spans="1:19" ht="13.8" x14ac:dyDescent="0.25">
      <c r="A9" s="205"/>
      <c r="B9" s="207"/>
      <c r="C9" s="209"/>
      <c r="D9" s="14" t="s">
        <v>35</v>
      </c>
      <c r="E9" s="209"/>
      <c r="F9" s="209"/>
      <c r="G9" s="197"/>
      <c r="H9" s="15" t="s">
        <v>36</v>
      </c>
      <c r="I9" s="15" t="s">
        <v>37</v>
      </c>
      <c r="J9" s="15" t="s">
        <v>38</v>
      </c>
      <c r="K9" s="15" t="s">
        <v>39</v>
      </c>
      <c r="L9" s="15" t="s">
        <v>40</v>
      </c>
      <c r="M9" s="15" t="s">
        <v>41</v>
      </c>
      <c r="N9" s="15" t="s">
        <v>42</v>
      </c>
      <c r="O9" s="15" t="s">
        <v>43</v>
      </c>
      <c r="P9" s="15" t="s">
        <v>44</v>
      </c>
      <c r="Q9" s="15" t="s">
        <v>45</v>
      </c>
      <c r="R9" s="15" t="s">
        <v>2</v>
      </c>
      <c r="S9" s="17" t="s">
        <v>7</v>
      </c>
    </row>
    <row r="10" spans="1:19" ht="13.8" x14ac:dyDescent="0.25">
      <c r="A10" s="211" t="s">
        <v>180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2"/>
      <c r="P10" s="212"/>
      <c r="Q10" s="212"/>
      <c r="R10" s="212"/>
      <c r="S10" s="213"/>
    </row>
    <row r="11" spans="1:19" x14ac:dyDescent="0.25">
      <c r="A11" s="40">
        <v>1</v>
      </c>
      <c r="B11" s="6" t="s">
        <v>80</v>
      </c>
      <c r="C11" s="6" t="s">
        <v>17</v>
      </c>
      <c r="D11" s="25">
        <v>1</v>
      </c>
      <c r="E11" s="29">
        <v>250000</v>
      </c>
      <c r="F11" s="22">
        <f>E11*D11</f>
        <v>250000</v>
      </c>
      <c r="G11" s="16" t="s">
        <v>18</v>
      </c>
      <c r="H11" s="25">
        <v>1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9"/>
    </row>
    <row r="12" spans="1:19" x14ac:dyDescent="0.25">
      <c r="A12" s="40">
        <v>2</v>
      </c>
      <c r="B12" s="6" t="s">
        <v>81</v>
      </c>
      <c r="C12" s="6" t="s">
        <v>17</v>
      </c>
      <c r="D12" s="25">
        <v>1</v>
      </c>
      <c r="E12" s="29">
        <v>100000</v>
      </c>
      <c r="F12" s="22">
        <f>E12*D12</f>
        <v>100000</v>
      </c>
      <c r="G12" s="16" t="s">
        <v>18</v>
      </c>
      <c r="H12" s="25">
        <v>1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9"/>
    </row>
    <row r="13" spans="1:19" x14ac:dyDescent="0.25">
      <c r="A13" s="40">
        <v>3</v>
      </c>
      <c r="B13" s="6" t="s">
        <v>82</v>
      </c>
      <c r="C13" s="6" t="s">
        <v>17</v>
      </c>
      <c r="D13" s="25">
        <v>1</v>
      </c>
      <c r="E13" s="29">
        <v>100000</v>
      </c>
      <c r="F13" s="22">
        <f>E13*D13</f>
        <v>100000</v>
      </c>
      <c r="G13" s="16" t="s">
        <v>18</v>
      </c>
      <c r="H13" s="25">
        <v>1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9"/>
    </row>
    <row r="14" spans="1:19" x14ac:dyDescent="0.25">
      <c r="A14" s="40">
        <v>4</v>
      </c>
      <c r="B14" s="6" t="s">
        <v>83</v>
      </c>
      <c r="C14" s="6" t="s">
        <v>17</v>
      </c>
      <c r="D14" s="25">
        <v>1</v>
      </c>
      <c r="E14" s="29">
        <v>150000</v>
      </c>
      <c r="F14" s="22">
        <f>E14*D14</f>
        <v>150000</v>
      </c>
      <c r="G14" s="16" t="s">
        <v>18</v>
      </c>
      <c r="H14" s="25">
        <v>1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9"/>
    </row>
    <row r="15" spans="1:19" x14ac:dyDescent="0.25">
      <c r="A15" s="40">
        <v>5</v>
      </c>
      <c r="B15" s="6" t="s">
        <v>84</v>
      </c>
      <c r="C15" s="6" t="s">
        <v>17</v>
      </c>
      <c r="D15" s="25">
        <v>1</v>
      </c>
      <c r="E15" s="29">
        <v>150000</v>
      </c>
      <c r="F15" s="22">
        <f>E15*D15</f>
        <v>150000</v>
      </c>
      <c r="G15" s="16" t="s">
        <v>18</v>
      </c>
      <c r="H15" s="25">
        <v>1</v>
      </c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9"/>
    </row>
    <row r="16" spans="1:19" ht="13.8" thickBot="1" x14ac:dyDescent="0.3">
      <c r="A16" s="214" t="s">
        <v>57</v>
      </c>
      <c r="B16" s="215"/>
      <c r="C16" s="215"/>
      <c r="D16" s="215"/>
      <c r="E16" s="216"/>
      <c r="F16" s="46">
        <f>SUM(F11:F15)</f>
        <v>750000</v>
      </c>
      <c r="G16" s="217"/>
      <c r="H16" s="218"/>
      <c r="I16" s="218"/>
      <c r="J16" s="218"/>
      <c r="K16" s="218"/>
      <c r="L16" s="218"/>
      <c r="M16" s="218"/>
      <c r="N16" s="218"/>
      <c r="O16" s="218"/>
      <c r="P16" s="218"/>
      <c r="Q16" s="218"/>
      <c r="R16" s="218"/>
      <c r="S16" s="219"/>
    </row>
    <row r="17" spans="1:19" ht="14.25" customHeight="1" x14ac:dyDescent="0.25">
      <c r="A17" s="283" t="s">
        <v>177</v>
      </c>
      <c r="B17" s="284"/>
      <c r="C17" s="284"/>
      <c r="D17" s="284"/>
      <c r="E17" s="284"/>
      <c r="F17" s="284"/>
      <c r="G17" s="284"/>
      <c r="H17" s="284"/>
      <c r="I17" s="284"/>
      <c r="J17" s="284"/>
      <c r="K17" s="284"/>
      <c r="L17" s="284"/>
      <c r="M17" s="284"/>
      <c r="N17" s="284"/>
      <c r="O17" s="284"/>
      <c r="P17" s="284"/>
      <c r="Q17" s="284"/>
      <c r="R17" s="284"/>
      <c r="S17" s="285"/>
    </row>
    <row r="18" spans="1:19" x14ac:dyDescent="0.25">
      <c r="A18" s="40">
        <v>1</v>
      </c>
      <c r="B18" s="6" t="s">
        <v>99</v>
      </c>
      <c r="C18" s="294" t="s">
        <v>100</v>
      </c>
      <c r="D18" s="25">
        <v>3</v>
      </c>
      <c r="E18" s="295">
        <v>3000</v>
      </c>
      <c r="F18" s="22">
        <f t="shared" ref="F18:F24" si="0">E18*D18</f>
        <v>9000</v>
      </c>
      <c r="G18" s="16" t="s">
        <v>18</v>
      </c>
      <c r="H18" s="25">
        <v>3</v>
      </c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</row>
    <row r="19" spans="1:19" x14ac:dyDescent="0.25">
      <c r="A19" s="40">
        <v>2</v>
      </c>
      <c r="B19" s="6" t="s">
        <v>73</v>
      </c>
      <c r="C19" s="294" t="s">
        <v>75</v>
      </c>
      <c r="D19" s="25">
        <v>50</v>
      </c>
      <c r="E19" s="295">
        <v>1000</v>
      </c>
      <c r="F19" s="22">
        <f t="shared" si="0"/>
        <v>50000</v>
      </c>
      <c r="G19" s="16" t="s">
        <v>18</v>
      </c>
      <c r="H19" s="25">
        <v>50</v>
      </c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</row>
    <row r="20" spans="1:19" x14ac:dyDescent="0.25">
      <c r="A20" s="40">
        <v>3</v>
      </c>
      <c r="B20" s="6" t="s">
        <v>76</v>
      </c>
      <c r="C20" s="294" t="s">
        <v>17</v>
      </c>
      <c r="D20" s="25">
        <v>2</v>
      </c>
      <c r="E20" s="295">
        <v>2000</v>
      </c>
      <c r="F20" s="22">
        <f t="shared" si="0"/>
        <v>4000</v>
      </c>
      <c r="G20" s="16" t="s">
        <v>18</v>
      </c>
      <c r="H20" s="25">
        <v>2</v>
      </c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</row>
    <row r="21" spans="1:19" x14ac:dyDescent="0.25">
      <c r="A21" s="40">
        <v>4</v>
      </c>
      <c r="B21" s="6" t="s">
        <v>77</v>
      </c>
      <c r="C21" s="294" t="s">
        <v>75</v>
      </c>
      <c r="D21" s="25">
        <v>60</v>
      </c>
      <c r="E21" s="295">
        <v>750</v>
      </c>
      <c r="F21" s="22">
        <f t="shared" si="0"/>
        <v>45000</v>
      </c>
      <c r="G21" s="16" t="s">
        <v>18</v>
      </c>
      <c r="H21" s="25">
        <v>60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</row>
    <row r="22" spans="1:19" x14ac:dyDescent="0.25">
      <c r="A22" s="40">
        <v>5</v>
      </c>
      <c r="B22" s="6" t="s">
        <v>78</v>
      </c>
      <c r="C22" s="294" t="s">
        <v>75</v>
      </c>
      <c r="D22" s="25">
        <v>60</v>
      </c>
      <c r="E22" s="295">
        <v>750</v>
      </c>
      <c r="F22" s="22">
        <f t="shared" si="0"/>
        <v>45000</v>
      </c>
      <c r="G22" s="16" t="s">
        <v>18</v>
      </c>
      <c r="H22" s="25">
        <v>60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</row>
    <row r="23" spans="1:19" x14ac:dyDescent="0.25">
      <c r="A23" s="40">
        <v>6</v>
      </c>
      <c r="B23" s="6" t="s">
        <v>79</v>
      </c>
      <c r="C23" s="294" t="s">
        <v>75</v>
      </c>
      <c r="D23" s="25">
        <v>60</v>
      </c>
      <c r="E23" s="295">
        <v>750</v>
      </c>
      <c r="F23" s="22">
        <f t="shared" si="0"/>
        <v>45000</v>
      </c>
      <c r="G23" s="16" t="s">
        <v>18</v>
      </c>
      <c r="H23" s="25">
        <v>60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</row>
    <row r="24" spans="1:19" x14ac:dyDescent="0.25">
      <c r="A24" s="155">
        <v>7</v>
      </c>
      <c r="B24" s="156" t="s">
        <v>223</v>
      </c>
      <c r="C24" s="156" t="s">
        <v>17</v>
      </c>
      <c r="D24" s="25">
        <v>5</v>
      </c>
      <c r="E24" s="157">
        <v>3500</v>
      </c>
      <c r="F24" s="158">
        <f t="shared" si="0"/>
        <v>17500</v>
      </c>
      <c r="G24" s="16" t="s">
        <v>18</v>
      </c>
      <c r="H24" s="25">
        <v>60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</row>
    <row r="25" spans="1:19" ht="13.8" thickBot="1" x14ac:dyDescent="0.3">
      <c r="A25" s="214" t="s">
        <v>57</v>
      </c>
      <c r="B25" s="215"/>
      <c r="C25" s="215"/>
      <c r="D25" s="215"/>
      <c r="E25" s="216"/>
      <c r="F25" s="46">
        <f>SUM(F18:F24)</f>
        <v>215500</v>
      </c>
      <c r="G25" s="217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9"/>
    </row>
    <row r="26" spans="1:19" ht="14.25" customHeight="1" x14ac:dyDescent="0.25">
      <c r="A26" s="283" t="s">
        <v>178</v>
      </c>
      <c r="B26" s="284"/>
      <c r="C26" s="284"/>
      <c r="D26" s="284"/>
      <c r="E26" s="284"/>
      <c r="F26" s="284"/>
      <c r="G26" s="284"/>
      <c r="H26" s="284"/>
      <c r="I26" s="284"/>
      <c r="J26" s="284"/>
      <c r="K26" s="284"/>
      <c r="L26" s="284"/>
      <c r="M26" s="284"/>
      <c r="N26" s="284"/>
      <c r="O26" s="284"/>
      <c r="P26" s="284"/>
      <c r="Q26" s="284"/>
      <c r="R26" s="284"/>
      <c r="S26" s="285"/>
    </row>
    <row r="27" spans="1:19" x14ac:dyDescent="0.25">
      <c r="A27" s="296">
        <v>1</v>
      </c>
      <c r="B27" s="6" t="s">
        <v>73</v>
      </c>
      <c r="C27" s="6" t="s">
        <v>75</v>
      </c>
      <c r="D27" s="25">
        <v>5</v>
      </c>
      <c r="E27" s="295">
        <v>1000</v>
      </c>
      <c r="F27" s="22">
        <f t="shared" ref="F27:F33" si="1">E27*D27</f>
        <v>5000</v>
      </c>
      <c r="G27" s="16" t="s">
        <v>18</v>
      </c>
      <c r="H27" s="38">
        <v>5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</row>
    <row r="28" spans="1:19" x14ac:dyDescent="0.25">
      <c r="A28" s="296">
        <v>2</v>
      </c>
      <c r="B28" s="6" t="s">
        <v>76</v>
      </c>
      <c r="C28" s="6" t="s">
        <v>17</v>
      </c>
      <c r="D28" s="25">
        <v>2</v>
      </c>
      <c r="E28" s="295">
        <v>2000</v>
      </c>
      <c r="F28" s="22">
        <f t="shared" si="1"/>
        <v>4000</v>
      </c>
      <c r="G28" s="16" t="s">
        <v>18</v>
      </c>
      <c r="H28" s="38">
        <v>2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</row>
    <row r="29" spans="1:19" x14ac:dyDescent="0.25">
      <c r="A29" s="296">
        <v>3</v>
      </c>
      <c r="B29" s="6" t="s">
        <v>77</v>
      </c>
      <c r="C29" s="6" t="s">
        <v>75</v>
      </c>
      <c r="D29" s="25">
        <v>60</v>
      </c>
      <c r="E29" s="295">
        <v>450</v>
      </c>
      <c r="F29" s="22">
        <f t="shared" si="1"/>
        <v>27000</v>
      </c>
      <c r="G29" s="16" t="s">
        <v>18</v>
      </c>
      <c r="H29" s="38">
        <v>60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</row>
    <row r="30" spans="1:19" x14ac:dyDescent="0.25">
      <c r="A30" s="296">
        <v>4</v>
      </c>
      <c r="B30" s="6" t="s">
        <v>78</v>
      </c>
      <c r="C30" s="6" t="s">
        <v>75</v>
      </c>
      <c r="D30" s="25">
        <v>60</v>
      </c>
      <c r="E30" s="295">
        <v>450</v>
      </c>
      <c r="F30" s="22">
        <f t="shared" si="1"/>
        <v>27000</v>
      </c>
      <c r="G30" s="16" t="s">
        <v>18</v>
      </c>
      <c r="H30" s="38">
        <v>60</v>
      </c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</row>
    <row r="31" spans="1:19" x14ac:dyDescent="0.25">
      <c r="A31" s="296">
        <v>3</v>
      </c>
      <c r="B31" s="6" t="s">
        <v>79</v>
      </c>
      <c r="C31" s="6" t="s">
        <v>75</v>
      </c>
      <c r="D31" s="25">
        <v>60</v>
      </c>
      <c r="E31" s="295">
        <v>450</v>
      </c>
      <c r="F31" s="22">
        <f t="shared" si="1"/>
        <v>27000</v>
      </c>
      <c r="G31" s="16" t="s">
        <v>18</v>
      </c>
      <c r="H31" s="38">
        <v>60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</row>
    <row r="32" spans="1:19" x14ac:dyDescent="0.25">
      <c r="A32" s="155">
        <v>4</v>
      </c>
      <c r="B32" s="6" t="s">
        <v>223</v>
      </c>
      <c r="C32" s="6" t="s">
        <v>17</v>
      </c>
      <c r="D32" s="25">
        <v>5</v>
      </c>
      <c r="E32" s="157">
        <v>3500</v>
      </c>
      <c r="F32" s="158">
        <f t="shared" si="1"/>
        <v>17500</v>
      </c>
      <c r="G32" s="16" t="s">
        <v>18</v>
      </c>
      <c r="H32" s="38">
        <v>60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</row>
    <row r="33" spans="1:19" x14ac:dyDescent="0.25">
      <c r="A33" s="155">
        <v>5</v>
      </c>
      <c r="B33" s="6" t="s">
        <v>224</v>
      </c>
      <c r="C33" s="6" t="s">
        <v>100</v>
      </c>
      <c r="D33" s="25">
        <v>3</v>
      </c>
      <c r="E33" s="157">
        <v>6000</v>
      </c>
      <c r="F33" s="158">
        <f t="shared" si="1"/>
        <v>18000</v>
      </c>
      <c r="G33" s="16" t="s">
        <v>18</v>
      </c>
      <c r="H33" s="38">
        <v>60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</row>
    <row r="34" spans="1:19" ht="13.8" thickBot="1" x14ac:dyDescent="0.3">
      <c r="A34" s="214" t="s">
        <v>57</v>
      </c>
      <c r="B34" s="215"/>
      <c r="C34" s="215"/>
      <c r="D34" s="215"/>
      <c r="E34" s="216"/>
      <c r="F34" s="46">
        <f>SUM(F27:F33)</f>
        <v>125500</v>
      </c>
      <c r="G34" s="217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9"/>
    </row>
    <row r="35" spans="1:19" s="8" customFormat="1" ht="15.6" thickBot="1" x14ac:dyDescent="0.3">
      <c r="A35" s="220" t="s">
        <v>46</v>
      </c>
      <c r="B35" s="221"/>
      <c r="C35" s="221"/>
      <c r="D35" s="221"/>
      <c r="E35" s="222"/>
      <c r="F35" s="47">
        <f>SUM(F16,F25,F34)</f>
        <v>1091000</v>
      </c>
      <c r="G35" s="223"/>
      <c r="H35" s="224"/>
      <c r="I35" s="224"/>
      <c r="J35" s="224"/>
      <c r="K35" s="224"/>
      <c r="L35" s="224"/>
      <c r="M35" s="224"/>
      <c r="N35" s="224"/>
      <c r="O35" s="224"/>
      <c r="P35" s="224"/>
      <c r="Q35" s="224"/>
      <c r="R35" s="224"/>
      <c r="S35" s="225"/>
    </row>
    <row r="36" spans="1:19" x14ac:dyDescent="0.25">
      <c r="A36" s="227" t="s">
        <v>47</v>
      </c>
      <c r="B36" s="227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</row>
    <row r="37" spans="1:19" x14ac:dyDescent="0.25">
      <c r="A37" s="183" t="s">
        <v>48</v>
      </c>
      <c r="B37" s="183"/>
      <c r="C37" s="183" t="s">
        <v>49</v>
      </c>
      <c r="D37" s="183"/>
      <c r="E37" s="183"/>
      <c r="F37" s="183"/>
      <c r="G37" s="183"/>
      <c r="H37" s="183"/>
      <c r="I37" s="183"/>
      <c r="J37" s="183"/>
      <c r="K37" s="183"/>
      <c r="L37" s="183" t="s">
        <v>50</v>
      </c>
      <c r="M37" s="183"/>
      <c r="N37" s="183"/>
      <c r="O37" s="183"/>
      <c r="P37" s="183"/>
      <c r="Q37" s="183"/>
      <c r="R37" s="183"/>
      <c r="S37" s="183"/>
    </row>
    <row r="38" spans="1:19" x14ac:dyDescent="0.25">
      <c r="A38" s="183"/>
      <c r="B38" s="183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S38" s="183"/>
    </row>
    <row r="39" spans="1:19" ht="15" x14ac:dyDescent="0.25">
      <c r="A39" s="1"/>
      <c r="B39" s="1"/>
      <c r="C39" s="1"/>
      <c r="D39" s="1"/>
      <c r="E39" s="8"/>
      <c r="F39" s="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13.8" x14ac:dyDescent="0.25">
      <c r="A40" s="2"/>
      <c r="B40" s="8"/>
      <c r="C40" s="181"/>
      <c r="D40" s="181"/>
      <c r="E40" s="8"/>
      <c r="F40" s="8"/>
      <c r="G40" s="12"/>
      <c r="H40" s="12"/>
      <c r="I40" s="12"/>
      <c r="J40" s="12"/>
      <c r="K40" s="12"/>
      <c r="L40" s="12"/>
      <c r="M40" s="12"/>
      <c r="N40" s="8"/>
      <c r="O40" s="8"/>
      <c r="P40" s="8"/>
      <c r="Q40" s="8"/>
      <c r="R40" s="4"/>
      <c r="S40" s="12"/>
    </row>
    <row r="41" spans="1:19" ht="13.8" x14ac:dyDescent="0.25">
      <c r="A41" s="8"/>
      <c r="C41" s="8"/>
      <c r="D41" s="8"/>
      <c r="G41" s="3"/>
      <c r="H41" s="8"/>
      <c r="I41" s="8"/>
      <c r="J41" s="8"/>
      <c r="K41" s="8"/>
      <c r="L41" s="8"/>
      <c r="S41" s="8"/>
    </row>
    <row r="42" spans="1:19" x14ac:dyDescent="0.25">
      <c r="A42" s="8"/>
      <c r="B42" s="5" t="s">
        <v>56</v>
      </c>
      <c r="C42" s="8"/>
      <c r="D42" s="8"/>
      <c r="E42" s="180" t="s">
        <v>148</v>
      </c>
      <c r="F42" s="180"/>
      <c r="G42" s="8"/>
      <c r="H42" s="8"/>
      <c r="I42" s="8"/>
      <c r="J42" s="8"/>
      <c r="K42" s="8"/>
      <c r="L42" s="8"/>
      <c r="M42" s="184" t="s">
        <v>19</v>
      </c>
      <c r="N42" s="184"/>
      <c r="O42" s="184"/>
      <c r="P42" s="184"/>
      <c r="Q42" s="184"/>
      <c r="R42" s="184"/>
      <c r="S42" s="8"/>
    </row>
    <row r="43" spans="1:19" x14ac:dyDescent="0.25">
      <c r="B43" s="13" t="s">
        <v>28</v>
      </c>
      <c r="E43" s="179" t="s">
        <v>101</v>
      </c>
      <c r="F43" s="180"/>
      <c r="M43" s="8"/>
      <c r="N43" s="179" t="s">
        <v>3</v>
      </c>
      <c r="O43" s="179"/>
      <c r="P43" s="179"/>
      <c r="Q43" s="179"/>
      <c r="R43" s="8"/>
    </row>
    <row r="50" spans="6:8" x14ac:dyDescent="0.25">
      <c r="F50" s="226"/>
      <c r="G50" s="226"/>
      <c r="H50" s="226"/>
    </row>
  </sheetData>
  <mergeCells count="33">
    <mergeCell ref="F50:H50"/>
    <mergeCell ref="H8:S8"/>
    <mergeCell ref="A8:A9"/>
    <mergeCell ref="B8:B9"/>
    <mergeCell ref="C8:C9"/>
    <mergeCell ref="E8:E9"/>
    <mergeCell ref="F8:F9"/>
    <mergeCell ref="G8:G9"/>
    <mergeCell ref="A35:E35"/>
    <mergeCell ref="G35:S35"/>
    <mergeCell ref="A36:S36"/>
    <mergeCell ref="A37:B38"/>
    <mergeCell ref="A34:E34"/>
    <mergeCell ref="E42:F42"/>
    <mergeCell ref="E43:F43"/>
    <mergeCell ref="N43:Q43"/>
    <mergeCell ref="C37:K38"/>
    <mergeCell ref="A26:S26"/>
    <mergeCell ref="M42:R42"/>
    <mergeCell ref="G34:S34"/>
    <mergeCell ref="L37:S38"/>
    <mergeCell ref="C40:D40"/>
    <mergeCell ref="A1:S1"/>
    <mergeCell ref="A2:S2"/>
    <mergeCell ref="A3:S3"/>
    <mergeCell ref="A4:S4"/>
    <mergeCell ref="A6:S6"/>
    <mergeCell ref="G16:S16"/>
    <mergeCell ref="A10:S10"/>
    <mergeCell ref="A16:E16"/>
    <mergeCell ref="A17:S17"/>
    <mergeCell ref="A25:E25"/>
    <mergeCell ref="G25:S25"/>
  </mergeCells>
  <pageMargins left="0.25" right="0.25" top="0.75" bottom="0.75" header="0.3" footer="0.3"/>
  <pageSetup paperSize="14" scale="8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63"/>
  <sheetViews>
    <sheetView topLeftCell="B11" zoomScale="110" zoomScaleNormal="130" workbookViewId="0">
      <selection activeCell="J50" sqref="J50:J53"/>
    </sheetView>
  </sheetViews>
  <sheetFormatPr defaultRowHeight="13.2" x14ac:dyDescent="0.25"/>
  <cols>
    <col min="1" max="1" width="5.44140625" customWidth="1"/>
    <col min="2" max="2" width="38.6640625" customWidth="1"/>
    <col min="3" max="3" width="18.44140625" bestFit="1" customWidth="1"/>
    <col min="4" max="4" width="5.6640625" customWidth="1"/>
    <col min="5" max="5" width="11.77734375" bestFit="1" customWidth="1"/>
    <col min="6" max="6" width="22" bestFit="1" customWidth="1"/>
    <col min="7" max="7" width="24" bestFit="1" customWidth="1"/>
    <col min="8" max="8" width="5.77734375" customWidth="1"/>
    <col min="9" max="9" width="6" customWidth="1"/>
    <col min="10" max="10" width="6.33203125" customWidth="1"/>
    <col min="11" max="11" width="5.77734375" customWidth="1"/>
    <col min="12" max="12" width="6.6640625" customWidth="1"/>
    <col min="13" max="13" width="5.77734375" customWidth="1"/>
    <col min="14" max="14" width="6.6640625" customWidth="1"/>
    <col min="15" max="16" width="6.109375" customWidth="1"/>
    <col min="17" max="17" width="5.77734375" customWidth="1"/>
    <col min="18" max="18" width="6.44140625" customWidth="1"/>
    <col min="19" max="19" width="6.109375" customWidth="1"/>
  </cols>
  <sheetData>
    <row r="1" spans="1:21" x14ac:dyDescent="0.25">
      <c r="A1" s="189" t="s">
        <v>72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</row>
    <row r="2" spans="1:21" ht="20.399999999999999" x14ac:dyDescent="0.25">
      <c r="A2" s="185" t="s">
        <v>162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</row>
    <row r="3" spans="1:21" ht="14.4" x14ac:dyDescent="0.25">
      <c r="A3" s="186" t="s">
        <v>0</v>
      </c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</row>
    <row r="4" spans="1:21" ht="13.8" x14ac:dyDescent="0.25">
      <c r="A4" s="187" t="s">
        <v>4</v>
      </c>
      <c r="B4" s="187"/>
      <c r="C4" s="187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</row>
    <row r="5" spans="1:21" ht="13.8" x14ac:dyDescent="0.25">
      <c r="A5" s="50"/>
      <c r="B5" s="50" t="s">
        <v>5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1:21" ht="13.8" x14ac:dyDescent="0.25">
      <c r="A6" s="210" t="s">
        <v>52</v>
      </c>
      <c r="B6" s="210"/>
      <c r="C6" s="210"/>
      <c r="D6" s="210"/>
      <c r="E6" s="210"/>
      <c r="F6" s="210"/>
      <c r="G6" s="210"/>
      <c r="H6" s="210"/>
      <c r="I6" s="210"/>
      <c r="J6" s="210"/>
      <c r="K6" s="210"/>
      <c r="L6" s="210"/>
      <c r="M6" s="210"/>
      <c r="N6" s="210"/>
      <c r="O6" s="210"/>
      <c r="P6" s="210"/>
      <c r="Q6" s="210"/>
      <c r="R6" s="210"/>
      <c r="S6" s="210"/>
    </row>
    <row r="7" spans="1:21" ht="13.8" thickBot="1" x14ac:dyDescent="0.3"/>
    <row r="8" spans="1:21" ht="15" x14ac:dyDescent="0.25">
      <c r="A8" s="277" t="s">
        <v>6</v>
      </c>
      <c r="B8" s="279" t="s">
        <v>31</v>
      </c>
      <c r="C8" s="281" t="s">
        <v>30</v>
      </c>
      <c r="D8" s="52" t="s">
        <v>32</v>
      </c>
      <c r="E8" s="281" t="s">
        <v>33</v>
      </c>
      <c r="F8" s="281" t="s">
        <v>53</v>
      </c>
      <c r="G8" s="273" t="s">
        <v>34</v>
      </c>
      <c r="H8" s="275" t="s">
        <v>1</v>
      </c>
      <c r="I8" s="275"/>
      <c r="J8" s="275"/>
      <c r="K8" s="275"/>
      <c r="L8" s="275"/>
      <c r="M8" s="275"/>
      <c r="N8" s="275"/>
      <c r="O8" s="275"/>
      <c r="P8" s="275"/>
      <c r="Q8" s="275"/>
      <c r="R8" s="275"/>
      <c r="S8" s="276"/>
    </row>
    <row r="9" spans="1:21" ht="13.8" x14ac:dyDescent="0.25">
      <c r="A9" s="278"/>
      <c r="B9" s="280"/>
      <c r="C9" s="282"/>
      <c r="D9" s="14" t="s">
        <v>35</v>
      </c>
      <c r="E9" s="282"/>
      <c r="F9" s="282"/>
      <c r="G9" s="274"/>
      <c r="H9" s="15" t="s">
        <v>36</v>
      </c>
      <c r="I9" s="15" t="s">
        <v>37</v>
      </c>
      <c r="J9" s="15" t="s">
        <v>38</v>
      </c>
      <c r="K9" s="15" t="s">
        <v>39</v>
      </c>
      <c r="L9" s="15" t="s">
        <v>40</v>
      </c>
      <c r="M9" s="15" t="s">
        <v>41</v>
      </c>
      <c r="N9" s="15" t="s">
        <v>42</v>
      </c>
      <c r="O9" s="15" t="s">
        <v>43</v>
      </c>
      <c r="P9" s="15" t="s">
        <v>44</v>
      </c>
      <c r="Q9" s="15" t="s">
        <v>45</v>
      </c>
      <c r="R9" s="15" t="s">
        <v>2</v>
      </c>
      <c r="S9" s="17" t="s">
        <v>7</v>
      </c>
    </row>
    <row r="10" spans="1:21" ht="13.95" customHeight="1" x14ac:dyDescent="0.25">
      <c r="A10" s="266" t="s">
        <v>225</v>
      </c>
      <c r="B10" s="267"/>
      <c r="C10" s="267"/>
      <c r="D10" s="267"/>
      <c r="E10" s="267"/>
      <c r="F10" s="267"/>
      <c r="G10" s="267"/>
      <c r="H10" s="267"/>
      <c r="I10" s="267"/>
      <c r="J10" s="267"/>
      <c r="K10" s="267"/>
      <c r="L10" s="267"/>
      <c r="M10" s="267"/>
      <c r="N10" s="267"/>
      <c r="O10" s="267"/>
      <c r="P10" s="267"/>
      <c r="Q10" s="267"/>
      <c r="R10" s="267"/>
      <c r="S10" s="268"/>
    </row>
    <row r="11" spans="1:21" x14ac:dyDescent="0.25">
      <c r="A11" s="48">
        <v>1</v>
      </c>
      <c r="B11" s="143" t="s">
        <v>229</v>
      </c>
      <c r="C11" s="6" t="s">
        <v>17</v>
      </c>
      <c r="D11" s="25">
        <v>1</v>
      </c>
      <c r="E11" s="27">
        <v>150000</v>
      </c>
      <c r="F11" s="7">
        <f>E11*D11</f>
        <v>150000</v>
      </c>
      <c r="G11" s="16" t="s">
        <v>18</v>
      </c>
      <c r="H11" s="38"/>
      <c r="I11" s="38"/>
      <c r="J11" s="38"/>
      <c r="K11" s="38"/>
      <c r="L11" s="38"/>
      <c r="M11" s="38"/>
      <c r="N11" s="38"/>
      <c r="O11" s="25">
        <v>1</v>
      </c>
      <c r="P11" s="38"/>
      <c r="Q11" s="152"/>
      <c r="R11" s="38"/>
      <c r="S11" s="39"/>
      <c r="U11" s="51"/>
    </row>
    <row r="12" spans="1:21" x14ac:dyDescent="0.25">
      <c r="A12" s="48">
        <v>2</v>
      </c>
      <c r="B12" s="143" t="s">
        <v>230</v>
      </c>
      <c r="C12" s="6" t="s">
        <v>17</v>
      </c>
      <c r="D12" s="25">
        <v>1</v>
      </c>
      <c r="E12" s="27">
        <v>200000</v>
      </c>
      <c r="F12" s="7">
        <f>E12*D12</f>
        <v>200000</v>
      </c>
      <c r="G12" s="16" t="s">
        <v>18</v>
      </c>
      <c r="H12" s="38"/>
      <c r="I12" s="38"/>
      <c r="J12" s="38"/>
      <c r="K12" s="38"/>
      <c r="L12" s="38"/>
      <c r="M12" s="38"/>
      <c r="N12" s="38"/>
      <c r="O12" s="25">
        <v>1</v>
      </c>
      <c r="P12" s="38"/>
      <c r="Q12" s="152"/>
      <c r="R12" s="38"/>
      <c r="S12" s="39"/>
      <c r="U12" s="51"/>
    </row>
    <row r="13" spans="1:21" x14ac:dyDescent="0.25">
      <c r="A13" s="286" t="s">
        <v>57</v>
      </c>
      <c r="B13" s="287"/>
      <c r="C13" s="287"/>
      <c r="D13" s="287"/>
      <c r="E13" s="287"/>
      <c r="F13" s="159">
        <f>SUM(F11,F12)</f>
        <v>350000</v>
      </c>
      <c r="G13" s="288"/>
      <c r="H13" s="288"/>
      <c r="I13" s="288"/>
      <c r="J13" s="288"/>
      <c r="K13" s="288"/>
      <c r="L13" s="288"/>
      <c r="M13" s="288"/>
      <c r="N13" s="288"/>
      <c r="O13" s="288"/>
      <c r="P13" s="288"/>
      <c r="Q13" s="288"/>
      <c r="R13" s="288"/>
      <c r="S13" s="289"/>
      <c r="U13" s="51"/>
    </row>
    <row r="14" spans="1:21" ht="13.95" customHeight="1" x14ac:dyDescent="0.25">
      <c r="A14" s="266" t="s">
        <v>226</v>
      </c>
      <c r="B14" s="267"/>
      <c r="C14" s="267"/>
      <c r="D14" s="267"/>
      <c r="E14" s="267"/>
      <c r="F14" s="267"/>
      <c r="G14" s="267"/>
      <c r="H14" s="267"/>
      <c r="I14" s="267"/>
      <c r="J14" s="267"/>
      <c r="K14" s="267"/>
      <c r="L14" s="267"/>
      <c r="M14" s="267"/>
      <c r="N14" s="267"/>
      <c r="O14" s="267"/>
      <c r="P14" s="267"/>
      <c r="Q14" s="267"/>
      <c r="R14" s="267"/>
      <c r="S14" s="268"/>
      <c r="U14" s="51"/>
    </row>
    <row r="15" spans="1:21" x14ac:dyDescent="0.25">
      <c r="A15" s="48">
        <v>1</v>
      </c>
      <c r="B15" s="143" t="s">
        <v>227</v>
      </c>
      <c r="C15" s="6" t="s">
        <v>66</v>
      </c>
      <c r="D15" s="25">
        <v>25</v>
      </c>
      <c r="E15" s="27">
        <v>1000</v>
      </c>
      <c r="F15" s="7">
        <f>E15*D15</f>
        <v>25000</v>
      </c>
      <c r="G15" s="16" t="s">
        <v>18</v>
      </c>
      <c r="H15" s="38"/>
      <c r="I15" s="38"/>
      <c r="J15" s="38"/>
      <c r="K15" s="38"/>
      <c r="L15" s="38"/>
      <c r="M15" s="38"/>
      <c r="N15" s="38"/>
      <c r="O15" s="25">
        <v>25</v>
      </c>
      <c r="P15" s="38"/>
      <c r="Q15" s="152"/>
      <c r="R15" s="38"/>
      <c r="S15" s="39"/>
      <c r="U15" s="51"/>
    </row>
    <row r="16" spans="1:21" x14ac:dyDescent="0.25">
      <c r="A16" s="48">
        <v>2</v>
      </c>
      <c r="B16" s="143" t="s">
        <v>231</v>
      </c>
      <c r="C16" s="6" t="s">
        <v>66</v>
      </c>
      <c r="D16" s="25">
        <v>5</v>
      </c>
      <c r="E16" s="27">
        <v>1000</v>
      </c>
      <c r="F16" s="7">
        <f>E16*D16</f>
        <v>5000</v>
      </c>
      <c r="G16" s="16" t="s">
        <v>18</v>
      </c>
      <c r="H16" s="38"/>
      <c r="I16" s="38"/>
      <c r="J16" s="38"/>
      <c r="K16" s="38"/>
      <c r="L16" s="38"/>
      <c r="M16" s="38"/>
      <c r="N16" s="38"/>
      <c r="O16" s="25">
        <v>5</v>
      </c>
      <c r="P16" s="38"/>
      <c r="Q16" s="152"/>
      <c r="R16" s="38"/>
      <c r="S16" s="39"/>
      <c r="U16" s="51"/>
    </row>
    <row r="17" spans="1:21" x14ac:dyDescent="0.25">
      <c r="A17" s="48">
        <v>3</v>
      </c>
      <c r="B17" s="6" t="s">
        <v>228</v>
      </c>
      <c r="C17" s="6" t="s">
        <v>66</v>
      </c>
      <c r="D17" s="25">
        <v>20</v>
      </c>
      <c r="E17" s="22">
        <v>1000</v>
      </c>
      <c r="F17" s="22">
        <f>E17*D17</f>
        <v>20000</v>
      </c>
      <c r="G17" s="16" t="s">
        <v>18</v>
      </c>
      <c r="H17" s="38"/>
      <c r="I17" s="38"/>
      <c r="J17" s="38"/>
      <c r="K17" s="38"/>
      <c r="L17" s="38"/>
      <c r="M17" s="38"/>
      <c r="N17" s="38"/>
      <c r="O17" s="25">
        <v>20</v>
      </c>
      <c r="P17" s="38"/>
      <c r="Q17" s="152"/>
      <c r="R17" s="38"/>
      <c r="S17" s="39"/>
      <c r="U17" s="51"/>
    </row>
    <row r="18" spans="1:21" x14ac:dyDescent="0.25">
      <c r="A18" s="286" t="s">
        <v>57</v>
      </c>
      <c r="B18" s="287"/>
      <c r="C18" s="287"/>
      <c r="D18" s="287"/>
      <c r="E18" s="287"/>
      <c r="F18" s="159">
        <f>SUM(F15:F17)</f>
        <v>50000</v>
      </c>
      <c r="G18" s="288"/>
      <c r="H18" s="288"/>
      <c r="I18" s="288"/>
      <c r="J18" s="288"/>
      <c r="K18" s="288"/>
      <c r="L18" s="288"/>
      <c r="M18" s="288"/>
      <c r="N18" s="288"/>
      <c r="O18" s="288"/>
      <c r="P18" s="288"/>
      <c r="Q18" s="288"/>
      <c r="R18" s="288"/>
      <c r="S18" s="289"/>
    </row>
    <row r="19" spans="1:21" ht="13.8" x14ac:dyDescent="0.25">
      <c r="A19" s="266" t="s">
        <v>232</v>
      </c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68"/>
    </row>
    <row r="20" spans="1:21" ht="13.95" customHeight="1" x14ac:dyDescent="0.25">
      <c r="A20" s="48">
        <v>1</v>
      </c>
      <c r="B20" s="143" t="s">
        <v>233</v>
      </c>
      <c r="C20" s="6" t="s">
        <v>66</v>
      </c>
      <c r="D20" s="25">
        <v>10</v>
      </c>
      <c r="E20" s="27">
        <v>10000</v>
      </c>
      <c r="F20" s="7">
        <f>E20*D20</f>
        <v>100000</v>
      </c>
      <c r="G20" s="16" t="s">
        <v>18</v>
      </c>
      <c r="H20" s="38"/>
      <c r="I20" s="38"/>
      <c r="J20" s="38"/>
      <c r="K20" s="38"/>
      <c r="L20" s="38"/>
      <c r="M20" s="38"/>
      <c r="N20" s="38"/>
      <c r="O20" s="25">
        <v>10</v>
      </c>
      <c r="P20" s="38"/>
      <c r="Q20" s="152"/>
      <c r="R20" s="38"/>
      <c r="S20" s="39"/>
    </row>
    <row r="21" spans="1:21" x14ac:dyDescent="0.25">
      <c r="A21" s="48">
        <v>2</v>
      </c>
      <c r="B21" s="143" t="s">
        <v>234</v>
      </c>
      <c r="C21" s="6" t="s">
        <v>66</v>
      </c>
      <c r="D21" s="25">
        <v>25</v>
      </c>
      <c r="E21" s="27">
        <v>450</v>
      </c>
      <c r="F21" s="7">
        <f>E21*D21</f>
        <v>11250</v>
      </c>
      <c r="G21" s="16" t="s">
        <v>18</v>
      </c>
      <c r="H21" s="38"/>
      <c r="I21" s="38"/>
      <c r="J21" s="38"/>
      <c r="K21" s="38"/>
      <c r="L21" s="38"/>
      <c r="M21" s="38"/>
      <c r="N21" s="38"/>
      <c r="O21" s="25">
        <v>25</v>
      </c>
      <c r="P21" s="38"/>
      <c r="Q21" s="152"/>
      <c r="R21" s="38"/>
      <c r="S21" s="39"/>
    </row>
    <row r="22" spans="1:21" x14ac:dyDescent="0.25">
      <c r="A22" s="48">
        <v>3</v>
      </c>
      <c r="B22" s="143" t="s">
        <v>235</v>
      </c>
      <c r="C22" s="6" t="s">
        <v>66</v>
      </c>
      <c r="D22" s="25">
        <v>25</v>
      </c>
      <c r="E22" s="27">
        <v>750</v>
      </c>
      <c r="F22" s="7">
        <f>E22*D22</f>
        <v>18750</v>
      </c>
      <c r="G22" s="16" t="s">
        <v>18</v>
      </c>
      <c r="H22" s="38"/>
      <c r="I22" s="38"/>
      <c r="J22" s="38"/>
      <c r="K22" s="38"/>
      <c r="L22" s="38"/>
      <c r="M22" s="38"/>
      <c r="N22" s="38"/>
      <c r="O22" s="25">
        <v>25</v>
      </c>
      <c r="P22" s="38"/>
      <c r="Q22" s="152"/>
      <c r="R22" s="38"/>
      <c r="S22" s="39"/>
    </row>
    <row r="23" spans="1:21" x14ac:dyDescent="0.25">
      <c r="A23" s="48">
        <v>4</v>
      </c>
      <c r="B23" s="143" t="s">
        <v>236</v>
      </c>
      <c r="C23" s="6" t="s">
        <v>66</v>
      </c>
      <c r="D23" s="25">
        <v>5</v>
      </c>
      <c r="E23" s="27">
        <v>10000</v>
      </c>
      <c r="F23" s="7">
        <f>E23*D23</f>
        <v>50000</v>
      </c>
      <c r="G23" s="16" t="s">
        <v>18</v>
      </c>
      <c r="H23" s="38"/>
      <c r="I23" s="38"/>
      <c r="J23" s="38"/>
      <c r="K23" s="38"/>
      <c r="L23" s="38"/>
      <c r="M23" s="38"/>
      <c r="N23" s="38"/>
      <c r="O23" s="25">
        <v>5</v>
      </c>
      <c r="P23" s="38"/>
      <c r="Q23" s="152"/>
      <c r="R23" s="38"/>
      <c r="S23" s="39"/>
    </row>
    <row r="24" spans="1:21" x14ac:dyDescent="0.25">
      <c r="A24" s="48">
        <v>5</v>
      </c>
      <c r="B24" s="143" t="s">
        <v>228</v>
      </c>
      <c r="C24" s="6" t="s">
        <v>66</v>
      </c>
      <c r="D24" s="25">
        <v>25</v>
      </c>
      <c r="E24" s="27">
        <v>500</v>
      </c>
      <c r="F24" s="7">
        <f>E24*D24</f>
        <v>12500</v>
      </c>
      <c r="G24" s="16" t="s">
        <v>18</v>
      </c>
      <c r="H24" s="38"/>
      <c r="I24" s="38"/>
      <c r="J24" s="38"/>
      <c r="K24" s="38"/>
      <c r="L24" s="38"/>
      <c r="M24" s="38"/>
      <c r="N24" s="38"/>
      <c r="O24" s="25">
        <v>25</v>
      </c>
      <c r="P24" s="38"/>
      <c r="Q24" s="152"/>
      <c r="R24" s="38"/>
      <c r="S24" s="39"/>
    </row>
    <row r="25" spans="1:21" x14ac:dyDescent="0.25">
      <c r="A25" s="286" t="s">
        <v>57</v>
      </c>
      <c r="B25" s="287"/>
      <c r="C25" s="287"/>
      <c r="D25" s="287"/>
      <c r="E25" s="287"/>
      <c r="F25" s="159">
        <f>SUM(F20:F24)</f>
        <v>192500</v>
      </c>
      <c r="G25" s="288"/>
      <c r="H25" s="288"/>
      <c r="I25" s="288"/>
      <c r="J25" s="288"/>
      <c r="K25" s="288"/>
      <c r="L25" s="288"/>
      <c r="M25" s="288"/>
      <c r="N25" s="288"/>
      <c r="O25" s="288"/>
      <c r="P25" s="288"/>
      <c r="Q25" s="288"/>
      <c r="R25" s="288"/>
      <c r="S25" s="289"/>
    </row>
    <row r="26" spans="1:21" ht="13.8" x14ac:dyDescent="0.25">
      <c r="A26" s="266" t="s">
        <v>237</v>
      </c>
      <c r="B26" s="267"/>
      <c r="C26" s="267"/>
      <c r="D26" s="267"/>
      <c r="E26" s="267"/>
      <c r="F26" s="267"/>
      <c r="G26" s="267"/>
      <c r="H26" s="267"/>
      <c r="I26" s="267"/>
      <c r="J26" s="267"/>
      <c r="K26" s="267"/>
      <c r="L26" s="267"/>
      <c r="M26" s="267"/>
      <c r="N26" s="267"/>
      <c r="O26" s="267"/>
      <c r="P26" s="267"/>
      <c r="Q26" s="267"/>
      <c r="R26" s="267"/>
      <c r="S26" s="268"/>
    </row>
    <row r="27" spans="1:21" x14ac:dyDescent="0.25">
      <c r="A27" s="48">
        <v>1</v>
      </c>
      <c r="B27" s="143" t="s">
        <v>238</v>
      </c>
      <c r="C27" s="6" t="s">
        <v>17</v>
      </c>
      <c r="D27" s="25">
        <v>6</v>
      </c>
      <c r="E27" s="29">
        <v>11000</v>
      </c>
      <c r="F27" s="7">
        <f>E27*D27</f>
        <v>66000</v>
      </c>
      <c r="G27" s="16" t="s">
        <v>18</v>
      </c>
      <c r="H27" s="38"/>
      <c r="I27" s="38"/>
      <c r="J27" s="25">
        <v>6</v>
      </c>
      <c r="K27" s="38"/>
      <c r="L27" s="38"/>
      <c r="M27" s="38"/>
      <c r="N27" s="38"/>
      <c r="O27" s="38"/>
      <c r="P27" s="38"/>
      <c r="Q27" s="38"/>
      <c r="R27" s="152"/>
      <c r="S27" s="39"/>
      <c r="U27" s="51"/>
    </row>
    <row r="28" spans="1:21" x14ac:dyDescent="0.25">
      <c r="A28" s="48">
        <v>2</v>
      </c>
      <c r="B28" s="6" t="s">
        <v>239</v>
      </c>
      <c r="C28" s="6" t="s">
        <v>66</v>
      </c>
      <c r="D28" s="25">
        <v>20</v>
      </c>
      <c r="E28" s="22">
        <v>450</v>
      </c>
      <c r="F28" s="22">
        <f>E28*D28</f>
        <v>9000</v>
      </c>
      <c r="G28" s="16" t="s">
        <v>18</v>
      </c>
      <c r="H28" s="38"/>
      <c r="I28" s="38"/>
      <c r="J28" s="25">
        <v>20</v>
      </c>
      <c r="K28" s="38"/>
      <c r="L28" s="38"/>
      <c r="M28" s="38"/>
      <c r="N28" s="38"/>
      <c r="O28" s="38"/>
      <c r="P28" s="38"/>
      <c r="Q28" s="38"/>
      <c r="R28" s="152"/>
      <c r="S28" s="39"/>
      <c r="U28" s="51"/>
    </row>
    <row r="29" spans="1:21" x14ac:dyDescent="0.25">
      <c r="A29" s="48">
        <v>3</v>
      </c>
      <c r="B29" s="6" t="s">
        <v>240</v>
      </c>
      <c r="C29" s="6" t="s">
        <v>66</v>
      </c>
      <c r="D29" s="25">
        <v>20</v>
      </c>
      <c r="E29" s="22">
        <v>2000</v>
      </c>
      <c r="F29" s="22">
        <f>E29*D29</f>
        <v>40000</v>
      </c>
      <c r="G29" s="16" t="s">
        <v>18</v>
      </c>
      <c r="H29" s="38"/>
      <c r="I29" s="38"/>
      <c r="J29" s="25">
        <v>20</v>
      </c>
      <c r="K29" s="38"/>
      <c r="L29" s="38"/>
      <c r="M29" s="38"/>
      <c r="N29" s="38"/>
      <c r="O29" s="38"/>
      <c r="P29" s="38"/>
      <c r="Q29" s="38"/>
      <c r="R29" s="152"/>
      <c r="S29" s="39"/>
      <c r="U29" s="51"/>
    </row>
    <row r="30" spans="1:21" x14ac:dyDescent="0.25">
      <c r="A30" s="48">
        <v>4</v>
      </c>
      <c r="B30" s="6" t="s">
        <v>248</v>
      </c>
      <c r="C30" s="6" t="s">
        <v>66</v>
      </c>
      <c r="D30" s="25">
        <v>20</v>
      </c>
      <c r="E30" s="22">
        <v>2000</v>
      </c>
      <c r="F30" s="22">
        <f>E30*D30</f>
        <v>40000</v>
      </c>
      <c r="G30" s="16" t="s">
        <v>18</v>
      </c>
      <c r="H30" s="38"/>
      <c r="I30" s="38"/>
      <c r="J30" s="25">
        <v>20</v>
      </c>
      <c r="K30" s="38"/>
      <c r="L30" s="38"/>
      <c r="M30" s="38"/>
      <c r="N30" s="38"/>
      <c r="O30" s="38"/>
      <c r="P30" s="38"/>
      <c r="Q30" s="38"/>
      <c r="R30" s="152"/>
      <c r="S30" s="39"/>
      <c r="U30" s="51"/>
    </row>
    <row r="31" spans="1:21" x14ac:dyDescent="0.25">
      <c r="A31" s="48"/>
      <c r="B31" s="6"/>
      <c r="C31" s="6"/>
      <c r="D31" s="25"/>
      <c r="E31" s="161" t="s">
        <v>57</v>
      </c>
      <c r="F31" s="161">
        <f>SUM(F27:F30)</f>
        <v>155000</v>
      </c>
      <c r="G31" s="16"/>
      <c r="H31" s="38"/>
      <c r="I31" s="38"/>
      <c r="J31" s="25"/>
      <c r="K31" s="38"/>
      <c r="L31" s="38"/>
      <c r="M31" s="38"/>
      <c r="N31" s="38"/>
      <c r="O31" s="38"/>
      <c r="P31" s="38"/>
      <c r="Q31" s="38"/>
      <c r="R31" s="152"/>
      <c r="S31" s="39"/>
      <c r="U31" s="51"/>
    </row>
    <row r="32" spans="1:21" ht="13.8" x14ac:dyDescent="0.25">
      <c r="A32" s="266" t="s">
        <v>241</v>
      </c>
      <c r="B32" s="267"/>
      <c r="C32" s="267"/>
      <c r="D32" s="267"/>
      <c r="E32" s="267"/>
      <c r="F32" s="267"/>
      <c r="G32" s="267"/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8"/>
    </row>
    <row r="33" spans="1:21" x14ac:dyDescent="0.25">
      <c r="A33" s="48">
        <v>1</v>
      </c>
      <c r="B33" s="6" t="s">
        <v>242</v>
      </c>
      <c r="C33" s="6" t="s">
        <v>17</v>
      </c>
      <c r="D33" s="25">
        <v>2</v>
      </c>
      <c r="E33" s="22">
        <v>5000</v>
      </c>
      <c r="F33" s="22">
        <f>E33*D33</f>
        <v>10000</v>
      </c>
      <c r="G33" s="16" t="s">
        <v>18</v>
      </c>
      <c r="H33" s="38"/>
      <c r="I33" s="38"/>
      <c r="J33" s="25">
        <v>2</v>
      </c>
      <c r="K33" s="38"/>
      <c r="L33" s="38"/>
      <c r="M33" s="38"/>
      <c r="N33" s="38"/>
      <c r="O33" s="38"/>
      <c r="P33" s="38"/>
      <c r="Q33" s="38"/>
      <c r="R33" s="152"/>
      <c r="S33" s="39"/>
      <c r="U33" s="51"/>
    </row>
    <row r="34" spans="1:21" x14ac:dyDescent="0.25">
      <c r="A34" s="48">
        <v>2</v>
      </c>
      <c r="B34" s="35" t="s">
        <v>228</v>
      </c>
      <c r="C34" s="6" t="s">
        <v>17</v>
      </c>
      <c r="D34" s="25">
        <v>1</v>
      </c>
      <c r="E34" s="29">
        <v>5000</v>
      </c>
      <c r="F34" s="22">
        <f t="shared" ref="F34:F35" si="0">E34*D34</f>
        <v>5000</v>
      </c>
      <c r="G34" s="16" t="s">
        <v>18</v>
      </c>
      <c r="H34" s="38"/>
      <c r="I34" s="38"/>
      <c r="J34" s="25">
        <v>1</v>
      </c>
      <c r="K34" s="38"/>
      <c r="L34" s="38"/>
      <c r="M34" s="38"/>
      <c r="N34" s="38"/>
      <c r="O34" s="38"/>
      <c r="P34" s="38"/>
      <c r="Q34" s="38"/>
      <c r="R34" s="152"/>
      <c r="S34" s="39"/>
    </row>
    <row r="35" spans="1:21" x14ac:dyDescent="0.25">
      <c r="A35" s="48">
        <v>3</v>
      </c>
      <c r="B35" s="35" t="s">
        <v>243</v>
      </c>
      <c r="C35" s="6" t="s">
        <v>17</v>
      </c>
      <c r="D35" s="25">
        <v>1</v>
      </c>
      <c r="E35" s="29">
        <v>5000</v>
      </c>
      <c r="F35" s="22">
        <f t="shared" si="0"/>
        <v>5000</v>
      </c>
      <c r="G35" s="16" t="s">
        <v>18</v>
      </c>
      <c r="H35" s="38"/>
      <c r="I35" s="38"/>
      <c r="J35" s="25">
        <v>1</v>
      </c>
      <c r="K35" s="38"/>
      <c r="L35" s="38"/>
      <c r="M35" s="38"/>
      <c r="N35" s="38"/>
      <c r="O35" s="38"/>
      <c r="P35" s="38"/>
      <c r="Q35" s="38"/>
      <c r="R35" s="152"/>
      <c r="S35" s="39"/>
    </row>
    <row r="36" spans="1:21" x14ac:dyDescent="0.25">
      <c r="A36" s="48"/>
      <c r="B36" s="35"/>
      <c r="C36" s="35"/>
      <c r="D36" s="25"/>
      <c r="E36" s="162" t="s">
        <v>57</v>
      </c>
      <c r="F36" s="161">
        <f>SUM(F33:F35)</f>
        <v>20000</v>
      </c>
      <c r="G36" s="16"/>
      <c r="H36" s="38"/>
      <c r="I36" s="38"/>
      <c r="J36" s="25"/>
      <c r="K36" s="38"/>
      <c r="L36" s="38"/>
      <c r="M36" s="38"/>
      <c r="N36" s="38"/>
      <c r="O36" s="38"/>
      <c r="P36" s="38"/>
      <c r="Q36" s="38"/>
      <c r="R36" s="152"/>
      <c r="S36" s="39"/>
    </row>
    <row r="37" spans="1:21" ht="13.8" x14ac:dyDescent="0.25">
      <c r="A37" s="266" t="s">
        <v>244</v>
      </c>
      <c r="B37" s="267"/>
      <c r="C37" s="267"/>
      <c r="D37" s="267"/>
      <c r="E37" s="267"/>
      <c r="F37" s="267"/>
      <c r="G37" s="267"/>
      <c r="H37" s="267"/>
      <c r="I37" s="267"/>
      <c r="J37" s="267"/>
      <c r="K37" s="267"/>
      <c r="L37" s="267"/>
      <c r="M37" s="267"/>
      <c r="N37" s="267"/>
      <c r="O37" s="267"/>
      <c r="P37" s="267"/>
      <c r="Q37" s="267"/>
      <c r="R37" s="267"/>
      <c r="S37" s="268"/>
    </row>
    <row r="38" spans="1:21" x14ac:dyDescent="0.25">
      <c r="A38" s="48">
        <v>1</v>
      </c>
      <c r="B38" s="35" t="s">
        <v>239</v>
      </c>
      <c r="C38" s="35" t="s">
        <v>75</v>
      </c>
      <c r="D38" s="25">
        <v>100</v>
      </c>
      <c r="E38" s="27">
        <v>1000</v>
      </c>
      <c r="F38" s="22">
        <f>E38*D38</f>
        <v>100000</v>
      </c>
      <c r="G38" s="16" t="s">
        <v>18</v>
      </c>
      <c r="H38" s="38"/>
      <c r="I38" s="38"/>
      <c r="J38" s="25">
        <v>100</v>
      </c>
      <c r="K38" s="38"/>
      <c r="L38" s="38"/>
      <c r="M38" s="38"/>
      <c r="N38" s="38"/>
      <c r="O38" s="38"/>
      <c r="P38" s="38"/>
      <c r="Q38" s="38"/>
      <c r="R38" s="152"/>
      <c r="S38" s="39"/>
    </row>
    <row r="39" spans="1:21" x14ac:dyDescent="0.25">
      <c r="A39" s="48">
        <v>2</v>
      </c>
      <c r="B39" s="35" t="s">
        <v>250</v>
      </c>
      <c r="C39" s="35" t="s">
        <v>17</v>
      </c>
      <c r="D39" s="25">
        <v>1</v>
      </c>
      <c r="E39" s="27">
        <v>15000</v>
      </c>
      <c r="F39" s="22">
        <f t="shared" ref="F39:F41" si="1">E39*D39</f>
        <v>15000</v>
      </c>
      <c r="G39" s="16" t="s">
        <v>18</v>
      </c>
      <c r="H39" s="38"/>
      <c r="I39" s="38"/>
      <c r="J39" s="25">
        <v>1</v>
      </c>
      <c r="K39" s="38"/>
      <c r="L39" s="38"/>
      <c r="M39" s="38"/>
      <c r="N39" s="38"/>
      <c r="O39" s="38"/>
      <c r="P39" s="38"/>
      <c r="Q39" s="38"/>
      <c r="R39" s="152"/>
      <c r="S39" s="39"/>
    </row>
    <row r="40" spans="1:21" x14ac:dyDescent="0.25">
      <c r="A40" s="48">
        <v>3</v>
      </c>
      <c r="B40" s="35" t="s">
        <v>228</v>
      </c>
      <c r="C40" s="35" t="s">
        <v>75</v>
      </c>
      <c r="D40" s="25">
        <v>100</v>
      </c>
      <c r="E40" s="27">
        <v>300</v>
      </c>
      <c r="F40" s="22">
        <f t="shared" si="1"/>
        <v>30000</v>
      </c>
      <c r="G40" s="16" t="s">
        <v>18</v>
      </c>
      <c r="H40" s="38"/>
      <c r="I40" s="38"/>
      <c r="J40" s="25">
        <v>100</v>
      </c>
      <c r="K40" s="38"/>
      <c r="L40" s="38"/>
      <c r="M40" s="38"/>
      <c r="N40" s="38"/>
      <c r="O40" s="38"/>
      <c r="P40" s="38"/>
      <c r="Q40" s="38"/>
      <c r="R40" s="152"/>
      <c r="S40" s="39"/>
    </row>
    <row r="41" spans="1:21" x14ac:dyDescent="0.25">
      <c r="A41" s="48">
        <v>4</v>
      </c>
      <c r="B41" s="35" t="s">
        <v>251</v>
      </c>
      <c r="C41" s="35" t="s">
        <v>17</v>
      </c>
      <c r="D41" s="25">
        <v>2</v>
      </c>
      <c r="E41" s="27">
        <v>2500</v>
      </c>
      <c r="F41" s="22">
        <f t="shared" si="1"/>
        <v>5000</v>
      </c>
      <c r="G41" s="16" t="s">
        <v>18</v>
      </c>
      <c r="H41" s="38"/>
      <c r="I41" s="38"/>
      <c r="J41" s="25">
        <v>2</v>
      </c>
      <c r="K41" s="38"/>
      <c r="L41" s="38"/>
      <c r="M41" s="38"/>
      <c r="N41" s="38"/>
      <c r="O41" s="38"/>
      <c r="P41" s="38"/>
      <c r="Q41" s="38"/>
      <c r="R41" s="152"/>
      <c r="S41" s="39"/>
    </row>
    <row r="42" spans="1:21" x14ac:dyDescent="0.25">
      <c r="A42" s="48"/>
      <c r="B42" s="35"/>
      <c r="C42" s="35"/>
      <c r="D42" s="25"/>
      <c r="E42" s="162" t="s">
        <v>57</v>
      </c>
      <c r="F42" s="161">
        <f>SUM(F38:F41)</f>
        <v>150000</v>
      </c>
      <c r="G42" s="16"/>
      <c r="H42" s="38"/>
      <c r="I42" s="38"/>
      <c r="J42" s="25"/>
      <c r="K42" s="38"/>
      <c r="L42" s="38"/>
      <c r="M42" s="38"/>
      <c r="N42" s="38"/>
      <c r="O42" s="38"/>
      <c r="P42" s="38"/>
      <c r="Q42" s="38"/>
      <c r="R42" s="152"/>
      <c r="S42" s="39"/>
    </row>
    <row r="43" spans="1:21" ht="13.8" x14ac:dyDescent="0.25">
      <c r="A43" s="266" t="s">
        <v>246</v>
      </c>
      <c r="B43" s="267"/>
      <c r="C43" s="267"/>
      <c r="D43" s="267"/>
      <c r="E43" s="267"/>
      <c r="F43" s="267"/>
      <c r="G43" s="267"/>
      <c r="H43" s="267"/>
      <c r="I43" s="267"/>
      <c r="J43" s="267"/>
      <c r="K43" s="267"/>
      <c r="L43" s="267"/>
      <c r="M43" s="267"/>
      <c r="N43" s="267"/>
      <c r="O43" s="267"/>
      <c r="P43" s="267"/>
      <c r="Q43" s="267"/>
      <c r="R43" s="267"/>
      <c r="S43" s="268"/>
    </row>
    <row r="44" spans="1:21" x14ac:dyDescent="0.25">
      <c r="A44" s="48">
        <v>1</v>
      </c>
      <c r="B44" s="35" t="s">
        <v>228</v>
      </c>
      <c r="C44" s="35" t="s">
        <v>75</v>
      </c>
      <c r="D44" s="25">
        <v>100</v>
      </c>
      <c r="E44" s="27">
        <v>300</v>
      </c>
      <c r="F44" s="22">
        <f>E44*D44</f>
        <v>30000</v>
      </c>
      <c r="G44" s="16" t="s">
        <v>18</v>
      </c>
      <c r="H44" s="38"/>
      <c r="I44" s="38"/>
      <c r="J44" s="25">
        <v>100</v>
      </c>
      <c r="K44" s="38"/>
      <c r="L44" s="38"/>
      <c r="M44" s="38"/>
      <c r="N44" s="38"/>
      <c r="O44" s="38"/>
      <c r="P44" s="38"/>
      <c r="Q44" s="38"/>
      <c r="R44" s="152"/>
      <c r="S44" s="39"/>
    </row>
    <row r="45" spans="1:21" x14ac:dyDescent="0.25">
      <c r="A45" s="48">
        <v>2</v>
      </c>
      <c r="B45" s="35" t="s">
        <v>239</v>
      </c>
      <c r="C45" s="35" t="s">
        <v>75</v>
      </c>
      <c r="D45" s="25">
        <v>100</v>
      </c>
      <c r="E45" s="27">
        <v>1000</v>
      </c>
      <c r="F45" s="22">
        <f t="shared" ref="F45:F47" si="2">E45*D45</f>
        <v>100000</v>
      </c>
      <c r="G45" s="16" t="s">
        <v>18</v>
      </c>
      <c r="H45" s="38"/>
      <c r="I45" s="38"/>
      <c r="J45" s="25">
        <v>100</v>
      </c>
      <c r="K45" s="38"/>
      <c r="L45" s="38"/>
      <c r="M45" s="38"/>
      <c r="N45" s="38"/>
      <c r="O45" s="38"/>
      <c r="P45" s="38"/>
      <c r="Q45" s="38"/>
      <c r="R45" s="152"/>
      <c r="S45" s="39"/>
    </row>
    <row r="46" spans="1:21" x14ac:dyDescent="0.25">
      <c r="A46" s="48">
        <v>3</v>
      </c>
      <c r="B46" s="35" t="s">
        <v>250</v>
      </c>
      <c r="C46" s="35" t="s">
        <v>17</v>
      </c>
      <c r="D46" s="25">
        <v>1</v>
      </c>
      <c r="E46" s="27">
        <v>15000</v>
      </c>
      <c r="F46" s="22">
        <f t="shared" si="2"/>
        <v>15000</v>
      </c>
      <c r="G46" s="16" t="s">
        <v>18</v>
      </c>
      <c r="H46" s="38"/>
      <c r="I46" s="38"/>
      <c r="J46" s="25">
        <v>1</v>
      </c>
      <c r="K46" s="38"/>
      <c r="L46" s="38"/>
      <c r="M46" s="38"/>
      <c r="N46" s="38"/>
      <c r="O46" s="38"/>
      <c r="P46" s="38"/>
      <c r="Q46" s="38"/>
      <c r="R46" s="152"/>
      <c r="S46" s="39"/>
    </row>
    <row r="47" spans="1:21" x14ac:dyDescent="0.25">
      <c r="A47" s="48">
        <v>4</v>
      </c>
      <c r="B47" s="35" t="s">
        <v>252</v>
      </c>
      <c r="C47" s="35" t="s">
        <v>17</v>
      </c>
      <c r="D47" s="25">
        <v>1</v>
      </c>
      <c r="E47" s="27">
        <v>5000</v>
      </c>
      <c r="F47" s="22">
        <f t="shared" si="2"/>
        <v>5000</v>
      </c>
      <c r="G47" s="16" t="s">
        <v>18</v>
      </c>
      <c r="H47" s="38"/>
      <c r="I47" s="38"/>
      <c r="J47" s="25">
        <v>1</v>
      </c>
      <c r="K47" s="38"/>
      <c r="L47" s="38"/>
      <c r="M47" s="38"/>
      <c r="N47" s="38"/>
      <c r="O47" s="38"/>
      <c r="P47" s="38"/>
      <c r="Q47" s="38"/>
      <c r="R47" s="152"/>
      <c r="S47" s="39"/>
    </row>
    <row r="48" spans="1:21" x14ac:dyDescent="0.25">
      <c r="A48" s="48"/>
      <c r="B48" s="35"/>
      <c r="C48" s="35"/>
      <c r="D48" s="25"/>
      <c r="E48" s="162" t="s">
        <v>57</v>
      </c>
      <c r="F48" s="161">
        <f>SUM(F44:F47)</f>
        <v>150000</v>
      </c>
      <c r="G48" s="16"/>
      <c r="H48" s="38"/>
      <c r="I48" s="38"/>
      <c r="J48" s="25"/>
      <c r="K48" s="38"/>
      <c r="L48" s="38"/>
      <c r="M48" s="38"/>
      <c r="N48" s="38"/>
      <c r="O48" s="38"/>
      <c r="P48" s="38"/>
      <c r="Q48" s="38"/>
      <c r="R48" s="152"/>
      <c r="S48" s="39"/>
    </row>
    <row r="49" spans="1:19" ht="13.8" x14ac:dyDescent="0.25">
      <c r="A49" s="266" t="s">
        <v>247</v>
      </c>
      <c r="B49" s="267"/>
      <c r="C49" s="267"/>
      <c r="D49" s="267"/>
      <c r="E49" s="267"/>
      <c r="F49" s="267"/>
      <c r="G49" s="267"/>
      <c r="H49" s="267"/>
      <c r="I49" s="267"/>
      <c r="J49" s="267"/>
      <c r="K49" s="267"/>
      <c r="L49" s="267"/>
      <c r="M49" s="267"/>
      <c r="N49" s="267"/>
      <c r="O49" s="267"/>
      <c r="P49" s="267"/>
      <c r="Q49" s="267"/>
      <c r="R49" s="267"/>
      <c r="S49" s="268"/>
    </row>
    <row r="50" spans="1:19" x14ac:dyDescent="0.25">
      <c r="A50" s="48">
        <v>1</v>
      </c>
      <c r="B50" s="35" t="s">
        <v>239</v>
      </c>
      <c r="C50" s="35" t="s">
        <v>75</v>
      </c>
      <c r="D50" s="25">
        <v>100</v>
      </c>
      <c r="E50" s="27">
        <v>1000</v>
      </c>
      <c r="F50" s="22">
        <f>E50*D50</f>
        <v>100000</v>
      </c>
      <c r="G50" s="16" t="s">
        <v>18</v>
      </c>
      <c r="H50" s="38"/>
      <c r="I50" s="38"/>
      <c r="J50" s="25">
        <v>100</v>
      </c>
      <c r="K50" s="38"/>
      <c r="L50" s="38"/>
      <c r="M50" s="38"/>
      <c r="N50" s="38"/>
      <c r="O50" s="38"/>
      <c r="P50" s="38"/>
      <c r="Q50" s="38"/>
      <c r="R50" s="152"/>
      <c r="S50" s="39"/>
    </row>
    <row r="51" spans="1:19" x14ac:dyDescent="0.25">
      <c r="A51" s="48">
        <v>2</v>
      </c>
      <c r="B51" s="35" t="s">
        <v>228</v>
      </c>
      <c r="C51" s="35" t="s">
        <v>75</v>
      </c>
      <c r="D51" s="25">
        <v>100</v>
      </c>
      <c r="E51" s="27">
        <v>300</v>
      </c>
      <c r="F51" s="22">
        <f t="shared" ref="F51:F53" si="3">E51*D51</f>
        <v>30000</v>
      </c>
      <c r="G51" s="16" t="s">
        <v>18</v>
      </c>
      <c r="H51" s="38"/>
      <c r="I51" s="38"/>
      <c r="J51" s="25">
        <v>100</v>
      </c>
      <c r="K51" s="38"/>
      <c r="L51" s="38"/>
      <c r="M51" s="38"/>
      <c r="N51" s="38"/>
      <c r="O51" s="38"/>
      <c r="P51" s="38"/>
      <c r="Q51" s="38"/>
      <c r="R51" s="152"/>
      <c r="S51" s="39"/>
    </row>
    <row r="52" spans="1:19" x14ac:dyDescent="0.25">
      <c r="A52" s="48">
        <v>3</v>
      </c>
      <c r="B52" s="35" t="s">
        <v>249</v>
      </c>
      <c r="C52" s="35" t="s">
        <v>17</v>
      </c>
      <c r="D52" s="25">
        <v>1</v>
      </c>
      <c r="E52" s="27">
        <v>15000</v>
      </c>
      <c r="F52" s="22">
        <f t="shared" si="3"/>
        <v>15000</v>
      </c>
      <c r="G52" s="16" t="s">
        <v>18</v>
      </c>
      <c r="H52" s="38"/>
      <c r="I52" s="38"/>
      <c r="J52" s="25">
        <v>1</v>
      </c>
      <c r="K52" s="38"/>
      <c r="L52" s="38"/>
      <c r="M52" s="38"/>
      <c r="N52" s="38"/>
      <c r="O52" s="38"/>
      <c r="P52" s="38"/>
      <c r="Q52" s="38"/>
      <c r="R52" s="152"/>
      <c r="S52" s="39"/>
    </row>
    <row r="53" spans="1:19" x14ac:dyDescent="0.25">
      <c r="A53" s="48">
        <v>3</v>
      </c>
      <c r="B53" s="35" t="s">
        <v>245</v>
      </c>
      <c r="C53" s="35" t="s">
        <v>17</v>
      </c>
      <c r="D53" s="25">
        <v>1</v>
      </c>
      <c r="E53" s="27">
        <v>5000</v>
      </c>
      <c r="F53" s="22">
        <f t="shared" si="3"/>
        <v>5000</v>
      </c>
      <c r="G53" s="16" t="s">
        <v>18</v>
      </c>
      <c r="H53" s="38"/>
      <c r="I53" s="38"/>
      <c r="J53" s="25">
        <v>1</v>
      </c>
      <c r="K53" s="38"/>
      <c r="L53" s="38"/>
      <c r="M53" s="38"/>
      <c r="N53" s="38"/>
      <c r="O53" s="38"/>
      <c r="P53" s="38"/>
      <c r="Q53" s="38"/>
      <c r="R53" s="152"/>
      <c r="S53" s="39"/>
    </row>
    <row r="54" spans="1:19" x14ac:dyDescent="0.25">
      <c r="A54" s="48"/>
      <c r="B54" s="35"/>
      <c r="C54" s="35"/>
      <c r="D54" s="25"/>
      <c r="E54" s="162" t="s">
        <v>57</v>
      </c>
      <c r="F54" s="161">
        <f>SUM(F50:F53)</f>
        <v>150000</v>
      </c>
      <c r="G54" s="16"/>
      <c r="H54" s="38"/>
      <c r="I54" s="38"/>
      <c r="J54" s="25"/>
      <c r="K54" s="38"/>
      <c r="L54" s="38"/>
      <c r="M54" s="38"/>
      <c r="N54" s="38"/>
      <c r="O54" s="38"/>
      <c r="P54" s="38"/>
      <c r="Q54" s="38"/>
      <c r="R54" s="152"/>
      <c r="S54" s="39"/>
    </row>
    <row r="55" spans="1:19" ht="15.6" customHeight="1" thickBot="1" x14ac:dyDescent="0.3">
      <c r="A55" s="290" t="s">
        <v>46</v>
      </c>
      <c r="B55" s="291"/>
      <c r="C55" s="291"/>
      <c r="D55" s="291"/>
      <c r="E55" s="291"/>
      <c r="F55" s="160">
        <f>SUM(F13,F18,F25,F31,F36,F42,F48,F54)</f>
        <v>1217500</v>
      </c>
      <c r="G55" s="292"/>
      <c r="H55" s="292"/>
      <c r="I55" s="292"/>
      <c r="J55" s="292"/>
      <c r="K55" s="292"/>
      <c r="L55" s="292"/>
      <c r="M55" s="292"/>
      <c r="N55" s="292"/>
      <c r="O55" s="292"/>
      <c r="P55" s="292"/>
      <c r="Q55" s="292"/>
      <c r="R55" s="292"/>
      <c r="S55" s="293"/>
    </row>
    <row r="56" spans="1:19" ht="13.2" customHeight="1" x14ac:dyDescent="0.25">
      <c r="A56" s="182" t="s">
        <v>47</v>
      </c>
      <c r="B56" s="182"/>
      <c r="C56" s="182"/>
      <c r="D56" s="182"/>
      <c r="E56" s="182"/>
      <c r="F56" s="182"/>
      <c r="G56" s="182"/>
      <c r="H56" s="182"/>
      <c r="I56" s="182"/>
      <c r="J56" s="182"/>
      <c r="K56" s="182"/>
      <c r="L56" s="182"/>
      <c r="M56" s="182"/>
      <c r="N56" s="182"/>
      <c r="O56" s="182"/>
      <c r="P56" s="182"/>
      <c r="Q56" s="182"/>
      <c r="R56" s="182"/>
      <c r="S56" s="182"/>
    </row>
    <row r="57" spans="1:19" ht="13.2" customHeight="1" x14ac:dyDescent="0.25">
      <c r="A57" s="183" t="s">
        <v>48</v>
      </c>
      <c r="B57" s="183"/>
      <c r="C57" s="183" t="s">
        <v>49</v>
      </c>
      <c r="D57" s="183"/>
      <c r="E57" s="183"/>
      <c r="F57" s="183"/>
      <c r="G57" s="183"/>
      <c r="H57" s="183"/>
      <c r="I57" s="183"/>
      <c r="J57" s="183"/>
      <c r="K57" s="183"/>
      <c r="L57" s="183" t="s">
        <v>50</v>
      </c>
      <c r="M57" s="183"/>
      <c r="N57" s="183"/>
      <c r="O57" s="183"/>
      <c r="P57" s="183"/>
      <c r="Q57" s="183"/>
      <c r="R57" s="183"/>
      <c r="S57" s="183"/>
    </row>
    <row r="58" spans="1:19" ht="13.2" customHeight="1" x14ac:dyDescent="0.25">
      <c r="A58" s="183"/>
      <c r="B58" s="183"/>
      <c r="C58" s="183"/>
      <c r="D58" s="183"/>
      <c r="E58" s="183"/>
      <c r="F58" s="183"/>
      <c r="G58" s="183"/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</row>
    <row r="59" spans="1:19" ht="13.8" x14ac:dyDescent="0.25">
      <c r="A59" s="2"/>
      <c r="B59" s="8"/>
      <c r="C59" s="181"/>
      <c r="D59" s="181"/>
      <c r="E59" s="8"/>
      <c r="F59" s="8"/>
      <c r="G59" s="12"/>
      <c r="H59" s="12"/>
      <c r="I59" s="12"/>
      <c r="J59" s="12"/>
      <c r="K59" s="12"/>
      <c r="L59" s="12"/>
      <c r="M59" s="12"/>
      <c r="N59" s="8"/>
      <c r="O59" s="8"/>
      <c r="P59" s="8"/>
      <c r="Q59" s="8"/>
      <c r="R59" s="4"/>
      <c r="S59" s="12"/>
    </row>
    <row r="60" spans="1:19" ht="13.8" x14ac:dyDescent="0.25">
      <c r="A60" s="8"/>
      <c r="C60" s="8"/>
      <c r="D60" s="8"/>
      <c r="G60" s="3"/>
      <c r="H60" s="8"/>
      <c r="I60" s="8"/>
      <c r="J60" s="8"/>
      <c r="K60" s="8"/>
      <c r="L60" s="8"/>
      <c r="S60" s="8"/>
    </row>
    <row r="61" spans="1:19" x14ac:dyDescent="0.25">
      <c r="A61" s="8"/>
      <c r="C61" s="8"/>
      <c r="D61" s="8"/>
      <c r="G61" s="8"/>
      <c r="H61" s="8"/>
      <c r="I61" s="8"/>
      <c r="J61" s="8"/>
      <c r="K61" s="8"/>
      <c r="L61" s="8"/>
      <c r="S61" s="8"/>
    </row>
    <row r="62" spans="1:19" x14ac:dyDescent="0.25">
      <c r="B62" s="5" t="s">
        <v>56</v>
      </c>
      <c r="E62" s="180" t="s">
        <v>148</v>
      </c>
      <c r="F62" s="180"/>
      <c r="M62" s="184" t="s">
        <v>19</v>
      </c>
      <c r="N62" s="184"/>
      <c r="O62" s="184"/>
      <c r="P62" s="184"/>
      <c r="Q62" s="184"/>
      <c r="R62" s="184"/>
    </row>
    <row r="63" spans="1:19" x14ac:dyDescent="0.25">
      <c r="B63" s="13" t="s">
        <v>28</v>
      </c>
      <c r="E63" s="179" t="s">
        <v>101</v>
      </c>
      <c r="F63" s="180"/>
      <c r="M63" s="8"/>
      <c r="N63" s="179" t="s">
        <v>3</v>
      </c>
      <c r="O63" s="179"/>
      <c r="P63" s="179"/>
      <c r="Q63" s="179"/>
      <c r="R63" s="8"/>
    </row>
  </sheetData>
  <mergeCells count="37">
    <mergeCell ref="E63:F63"/>
    <mergeCell ref="N63:Q63"/>
    <mergeCell ref="A57:B58"/>
    <mergeCell ref="C57:K58"/>
    <mergeCell ref="L57:S58"/>
    <mergeCell ref="C59:D59"/>
    <mergeCell ref="E62:F62"/>
    <mergeCell ref="M62:R62"/>
    <mergeCell ref="A18:E18"/>
    <mergeCell ref="G18:S18"/>
    <mergeCell ref="A19:S19"/>
    <mergeCell ref="A25:E25"/>
    <mergeCell ref="G25:S25"/>
    <mergeCell ref="A26:S26"/>
    <mergeCell ref="A55:E55"/>
    <mergeCell ref="G55:S55"/>
    <mergeCell ref="A56:S56"/>
    <mergeCell ref="A32:S32"/>
    <mergeCell ref="A37:S37"/>
    <mergeCell ref="A43:S43"/>
    <mergeCell ref="A49:S49"/>
    <mergeCell ref="A14:S14"/>
    <mergeCell ref="A1:S1"/>
    <mergeCell ref="A2:S2"/>
    <mergeCell ref="A3:S3"/>
    <mergeCell ref="A4:S4"/>
    <mergeCell ref="A6:S6"/>
    <mergeCell ref="A8:A9"/>
    <mergeCell ref="B8:B9"/>
    <mergeCell ref="C8:C9"/>
    <mergeCell ref="E8:E9"/>
    <mergeCell ref="F8:F9"/>
    <mergeCell ref="G8:G9"/>
    <mergeCell ref="H8:S8"/>
    <mergeCell ref="A10:S10"/>
    <mergeCell ref="A13:E13"/>
    <mergeCell ref="G13:S13"/>
  </mergeCells>
  <pageMargins left="0.7" right="0.7" top="0.75" bottom="0.75" header="0.3" footer="0.3"/>
  <pageSetup paperSize="177" scale="8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Office</vt:lpstr>
      <vt:lpstr>Semi-Expan</vt:lpstr>
      <vt:lpstr>Faci.Dev</vt:lpstr>
      <vt:lpstr>Accreditation</vt:lpstr>
      <vt:lpstr>ISO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CMULHS</dc:creator>
  <cp:lastModifiedBy>Bahrul Olom Ungad</cp:lastModifiedBy>
  <cp:lastPrinted>2026-02-05T07:18:40Z</cp:lastPrinted>
  <dcterms:created xsi:type="dcterms:W3CDTF">2024-07-04T08:18:09Z</dcterms:created>
  <dcterms:modified xsi:type="dcterms:W3CDTF">2026-02-05T07:19:25Z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2023-07-07T00:00:00Z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2024-07-04T00:00:00Z</vt:filetime>
  </property>
  <property fmtid="{D5CDD505-2E9C-101B-9397-08002B2CF9AE}" pid="5" name="Producer">
    <vt:lpwstr>Microsoft® Excel® 2016</vt:lpwstr>
  </property>
</Properties>
</file>